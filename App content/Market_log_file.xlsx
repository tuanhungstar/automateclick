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3048" windowHeight="21384" tabRatio="600" firstSheet="0" activeTab="0" autoFilterDateGrouping="1"/>
  </bookViews>
  <sheets>
    <sheet name="Main" sheetId="1" state="visible" r:id="rId1"/>
    <sheet name="Log" sheetId="2" state="visible" r:id="rId2"/>
  </sheets>
  <definedNames>
    <definedName name="_xlnm._FilterDatabase" localSheetId="0" hidden="1">'Main'!$A$1:$O$3482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3" fontId="1" fillId="0" borderId="1" applyAlignment="1" pivotButton="0" quotePrefix="0" xfId="0">
      <alignment horizontal="center" vertical="top" wrapText="1"/>
    </xf>
    <xf numFmtId="0" fontId="2" fillId="0" borderId="0" pivotButton="0" quotePrefix="0" xfId="1"/>
    <xf numFmtId="3" fontId="0" fillId="0" borderId="0" pivotButton="0" quotePrefix="0" xfId="0"/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9"/>
  <sheetViews>
    <sheetView tabSelected="1" workbookViewId="0">
      <selection activeCell="D51" sqref="D51"/>
    </sheetView>
  </sheetViews>
  <sheetFormatPr baseColWidth="8" defaultRowHeight="14.4"/>
  <cols>
    <col width="12.5546875" customWidth="1" style="6" min="3" max="3"/>
    <col width="13.5546875" customWidth="1" style="6" min="4" max="4"/>
    <col width="48.77734375" customWidth="1" style="6" min="5" max="5"/>
    <col width="17.88671875" customWidth="1" style="6" min="8" max="9"/>
    <col width="51.44140625" customWidth="1" style="5" min="10" max="10"/>
    <col width="24" customWidth="1" style="6" min="11" max="11"/>
    <col width="24.5546875" customWidth="1" style="6" min="12" max="12"/>
    <col width="20" customWidth="1" style="6" min="13" max="13"/>
    <col width="33.6640625" customWidth="1" style="6" min="14" max="14"/>
    <col width="24.6640625" customWidth="1" style="6" min="15" max="15"/>
  </cols>
  <sheetData>
    <row r="1" ht="36.6" customFormat="1" customHeight="1" s="1">
      <c r="A1" s="2" t="inlineStr">
        <is>
          <t>STT</t>
        </is>
      </c>
      <c r="B1" s="2" t="inlineStr">
        <is>
          <t>Mã siêu thị</t>
        </is>
      </c>
      <c r="C1" s="2" t="inlineStr">
        <is>
          <t>Tên siêu thị</t>
        </is>
      </c>
      <c r="D1" s="2" t="inlineStr">
        <is>
          <t>Mã sản phẩm</t>
        </is>
      </c>
      <c r="E1" s="2" t="inlineStr">
        <is>
          <t>Tên sản phẩm</t>
        </is>
      </c>
      <c r="F1" s="2" t="inlineStr">
        <is>
          <t>IMEI của sản phẩm chính</t>
        </is>
      </c>
      <c r="G1" s="2" t="inlineStr">
        <is>
          <t>Trạng thái sản phẩm</t>
        </is>
      </c>
      <c r="H1" s="2" t="inlineStr">
        <is>
          <t>Số lượng</t>
        </is>
      </c>
      <c r="I1" s="2" t="inlineStr">
        <is>
          <t>Source</t>
        </is>
      </c>
      <c r="J1" s="3" t="inlineStr">
        <is>
          <t>Price</t>
        </is>
      </c>
      <c r="K1" s="2" t="inlineStr">
        <is>
          <t>Description</t>
        </is>
      </c>
      <c r="L1" s="2" t="inlineStr">
        <is>
          <t>Text_similar_score</t>
        </is>
      </c>
      <c r="M1" s="2" t="inlineStr">
        <is>
          <t>Link</t>
        </is>
      </c>
      <c r="N1" s="2" t="inlineStr">
        <is>
          <t>screenshot</t>
        </is>
      </c>
      <c r="O1" s="1" t="inlineStr">
        <is>
          <t>Search file</t>
        </is>
      </c>
    </row>
    <row r="2" ht="29.1" customHeight="1" s="6">
      <c r="A2" t="inlineStr">
        <is>
          <t>GGAPI1</t>
        </is>
      </c>
      <c r="D2" t="inlineStr">
        <is>
          <t>3041094001145</t>
        </is>
      </c>
      <c r="E2" t="inlineStr">
        <is>
          <t>Tivi Neo QLED 8K Samsung QA65QN900A</t>
        </is>
      </c>
      <c r="H2" s="5" t="n">
        <v>59045000</v>
      </c>
      <c r="I2" s="5" t="inlineStr">
        <is>
          <t>www.dienmayxanh.com</t>
        </is>
      </c>
      <c r="J2" s="1" t="inlineStr">
        <is>
          <t>45590000</t>
        </is>
      </c>
      <c r="K2" t="inlineStr">
        <is>
          <t>Smart Tivi Neo QLED 8K 65 inch Samsung QA65QN900A</t>
        </is>
      </c>
      <c r="M2" t="inlineStr">
        <is>
          <t>https://www.dienmayxanh.com/tivi/neo-qled-8k-samsung-qa65qn900a</t>
        </is>
      </c>
      <c r="N2" s="4">
        <f>HYPERLINK("D:/Automate Task GenAI/Market price/screenshot\www.dienmayxanh.com_GGAPI1.png")</f>
        <v/>
      </c>
      <c r="O2">
        <f>HYPERLINK("D:/Automate Task GenAI/Market price/screenshot\GGAPI1.xlsx")</f>
        <v/>
      </c>
    </row>
    <row r="3">
      <c r="A3" t="inlineStr">
        <is>
          <t>GGAPI2</t>
        </is>
      </c>
      <c r="D3" t="inlineStr">
        <is>
          <t>3051097001997</t>
        </is>
      </c>
      <c r="E3" t="inlineStr">
        <is>
          <t>Tủ lạnh Hitachi R-SX800GPGV0 GBK</t>
        </is>
      </c>
      <c r="H3" s="5" t="n">
        <v>41809090.9091</v>
      </c>
      <c r="I3" s="5" t="inlineStr">
        <is>
          <t>pico.vn</t>
        </is>
      </c>
      <c r="J3" s="1" t="inlineStr">
        <is>
          <t>17990000</t>
        </is>
      </c>
      <c r="K3" t="inlineStr">
        <is>
          <t>Tủ lạnh Hitachi Inverter 573 lít R-GPV0(GBK)</t>
        </is>
      </c>
      <c r="M3" t="inlineStr">
        <is>
          <t>https://pico.vn/tu-lanh-hitachi-inverter-573-lit-r-sx800gpgv0gbk-RSX800GPGV0GBK</t>
        </is>
      </c>
      <c r="N3">
        <f>HYPERLINK("D:/Automate Task GenAI/Market price/screenshot\pico.vn_GGAPI2.png")</f>
        <v/>
      </c>
      <c r="O3">
        <f>HYPERLINK("D:/Automate Task GenAI/Market price/screenshot\GGAPI2.xlsx")</f>
        <v/>
      </c>
    </row>
    <row r="4">
      <c r="A4" t="inlineStr">
        <is>
          <t>GGAPI3</t>
        </is>
      </c>
      <c r="D4" t="inlineStr">
        <is>
          <t>0131491004450</t>
        </is>
      </c>
      <c r="E4" t="inlineStr">
        <is>
          <t>Samsung Galaxy S25 Ultra S938B (12G+1TB) Xanh</t>
        </is>
      </c>
      <c r="H4" s="5" t="n">
        <v>31890000</v>
      </c>
      <c r="I4" s="5" t="inlineStr">
        <is>
          <t>www.thegioididong.com</t>
        </is>
      </c>
      <c r="J4" s="1" t="inlineStr">
        <is>
          <t>N/A</t>
        </is>
      </c>
      <c r="K4" t="inlineStr">
        <is>
          <t>Điện thoại Samsung Galaxy S25 Ultra 5G 12GB/1TB</t>
        </is>
      </c>
      <c r="M4" t="inlineStr">
        <is>
          <t>https://www.thegioididong.com/dtdd/samsung-galaxy-s25-ultra-1tb</t>
        </is>
      </c>
      <c r="N4">
        <f>HYPERLINK("D:/Automate Task GenAI/Market price/screenshot\www.thegioididong.com_GGAPI3.png")</f>
        <v/>
      </c>
      <c r="O4">
        <f>HYPERLINK("D:/Automate Task GenAI/Market price/screenshot\GGAPI3.xlsx")</f>
        <v/>
      </c>
    </row>
    <row r="5">
      <c r="A5" t="inlineStr">
        <is>
          <t>GGAPI4</t>
        </is>
      </c>
      <c r="D5" t="inlineStr">
        <is>
          <t>3041094001809</t>
        </is>
      </c>
      <c r="E5" t="inlineStr">
        <is>
          <t>TIVI OLED LG 65C4PSA</t>
        </is>
      </c>
      <c r="H5" s="5" t="n">
        <v>31772727.2727</v>
      </c>
      <c r="I5" s="5" t="inlineStr">
        <is>
          <t>www.dienmayxanh.com</t>
        </is>
      </c>
      <c r="J5" s="1" t="inlineStr">
        <is>
          <t>69900000</t>
        </is>
      </c>
      <c r="K5" t="inlineStr">
        <is>
          <t>Smart Tivi OLED LG AI 4K 65 inch 65C4PSA</t>
        </is>
      </c>
      <c r="N5">
        <f>HYPERLINK("D:/Automate Task GenAI/Market price/screenshot\www.dienmayxanh.com_GGAPI4.png")</f>
        <v/>
      </c>
      <c r="O5">
        <f>HYPERLINK("D:/Automate Task GenAI/Market price/screenshot\GGAPI4.xlsx")</f>
        <v/>
      </c>
    </row>
    <row r="6">
      <c r="A6" t="inlineStr">
        <is>
          <t>GGAPI5</t>
        </is>
      </c>
      <c r="D6" t="inlineStr">
        <is>
          <t>0131491004265</t>
        </is>
      </c>
      <c r="E6" t="inlineStr">
        <is>
          <t>Điện thoại iPhone 16 Pro Max 256GB Black Titanium</t>
        </is>
      </c>
      <c r="H6" s="5" t="n">
        <v>29559000</v>
      </c>
      <c r="I6" s="5" t="inlineStr">
        <is>
          <t>www.thegioididong.com</t>
        </is>
      </c>
      <c r="J6" s="1" t="inlineStr">
        <is>
          <t>31590000</t>
        </is>
      </c>
      <c r="K6" t="inlineStr">
        <is>
          <t>Điện thoại iPhone 16 Pro Max 256GB</t>
        </is>
      </c>
      <c r="N6">
        <f>HYPERLINK("D:/Automate Task GenAI/Market price/screenshot\www.thegioididong.com_GGAPI5.png")</f>
        <v/>
      </c>
      <c r="O6">
        <f>HYPERLINK("D:/Automate Task GenAI/Market price/screenshot\GGAPI5.xlsx")</f>
        <v/>
      </c>
    </row>
    <row r="7">
      <c r="A7" t="inlineStr">
        <is>
          <t>GGAPI6</t>
        </is>
      </c>
      <c r="D7" t="inlineStr">
        <is>
          <t>1751099000047</t>
        </is>
      </c>
      <c r="E7" t="inlineStr">
        <is>
          <t>Máy giặt LG WT1410NHEG</t>
        </is>
      </c>
      <c r="H7" s="5" t="n">
        <v>29540909</v>
      </c>
      <c r="I7" s="5" t="inlineStr">
        <is>
          <t>www.nguyenkim.com</t>
        </is>
      </c>
      <c r="J7" s="1" t="inlineStr">
        <is>
          <t>43740000</t>
        </is>
      </c>
      <c r="K7" t="inlineStr">
        <is>
          <t>Tháp giặt sấy LG WashTower Inverter 14/10kg WT1410NHEG</t>
        </is>
      </c>
      <c r="N7">
        <f>HYPERLINK("D:/Automate Task GenAI/Market price/screenshot\www.nguyenkim.com_GGAPI6.png")</f>
        <v/>
      </c>
      <c r="O7">
        <f>HYPERLINK("D:/Automate Task GenAI/Market price/screenshot\GGAPI6.xlsx")</f>
        <v/>
      </c>
    </row>
    <row r="8">
      <c r="A8" t="inlineStr">
        <is>
          <t>GGAPI7</t>
        </is>
      </c>
      <c r="D8" t="inlineStr">
        <is>
          <t>0131491004455</t>
        </is>
      </c>
      <c r="E8" t="inlineStr">
        <is>
          <t>Samsung Galaxy S25 Ultra S938B (12G+256G) Đen</t>
        </is>
      </c>
      <c r="H8" s="5" t="n">
        <v>26574000</v>
      </c>
      <c r="I8" s="5" t="inlineStr">
        <is>
          <t>www.thegioididong.com</t>
        </is>
      </c>
      <c r="J8" s="1" t="inlineStr">
        <is>
          <t>26490000</t>
        </is>
      </c>
      <c r="K8" t="inlineStr">
        <is>
          <t>Điện thoại Samsung Galaxy S25 Ultra 5G 12GB/256GB</t>
        </is>
      </c>
      <c r="N8">
        <f>HYPERLINK("D:/Automate Task GenAI/Market price/screenshot\www.thegioididong.com_GGAPI7.png")</f>
        <v/>
      </c>
      <c r="O8">
        <f>HYPERLINK("D:/Automate Task GenAI/Market price/screenshot\GGAPI7.xlsx")</f>
        <v/>
      </c>
    </row>
    <row r="9">
      <c r="A9" t="inlineStr">
        <is>
          <t>GGAPI8</t>
        </is>
      </c>
      <c r="D9" t="inlineStr">
        <is>
          <t>3051097002174</t>
        </is>
      </c>
      <c r="E9" t="inlineStr">
        <is>
          <t>Tủ lạnh LG GR-X257BL</t>
        </is>
      </c>
      <c r="H9" s="5" t="n">
        <v>25904545</v>
      </c>
      <c r="I9" s="5" t="inlineStr">
        <is>
          <t>mediamart.vn</t>
        </is>
      </c>
      <c r="J9" s="1" t="inlineStr">
        <is>
          <t>35990000</t>
        </is>
      </c>
      <c r="K9" t="inlineStr">
        <is>
          <t>Tủ lạnh Side By Side LG Inverter 635 Lít GR-X257BL</t>
        </is>
      </c>
      <c r="N9">
        <f>HYPERLINK("D:/Automate Task GenAI/Market price/screenshot\mediamart.vn_GGAPI8.png")</f>
        <v/>
      </c>
      <c r="O9">
        <f>HYPERLINK("D:/Automate Task GenAI/Market price/screenshot\GGAPI8.xlsx")</f>
        <v/>
      </c>
    </row>
    <row r="10">
      <c r="A10" t="inlineStr">
        <is>
          <t>GGAPI9</t>
        </is>
      </c>
      <c r="D10" t="inlineStr">
        <is>
          <t>0220042002830</t>
        </is>
      </c>
      <c r="E10" t="inlineStr">
        <is>
          <t>Dell Inspiron 7440 Core 7 150U/16GB/1TB/14"F/Touch/Pen/OfficeHS/Win11/(N7440-C7U161W11IBU)/Xanh</t>
        </is>
      </c>
      <c r="H10" s="5" t="n">
        <v>25878636.3636</v>
      </c>
      <c r="I10" s="5" t="n"/>
      <c r="J10" s="1" t="n"/>
    </row>
    <row r="11">
      <c r="A11" t="inlineStr">
        <is>
          <t>GGAPI10</t>
        </is>
      </c>
      <c r="D11" t="inlineStr">
        <is>
          <t>1751097000053</t>
        </is>
      </c>
      <c r="E11" t="inlineStr">
        <is>
          <t>Tủ lạnh LG LFD61BLGAI</t>
        </is>
      </c>
      <c r="H11" s="5" t="n">
        <v>24995455</v>
      </c>
      <c r="I11" s="5" t="n"/>
    </row>
    <row r="12">
      <c r="A12" t="inlineStr">
        <is>
          <t>GGAPI11</t>
        </is>
      </c>
      <c r="D12" t="inlineStr">
        <is>
          <t>0220042002329</t>
        </is>
      </c>
      <c r="E12" t="inlineStr">
        <is>
          <t>MSI Katana 15 B13VFK i7 13620H/16GB/1TB/8GB RTX4060/15.6"F/144Hz/Balo/Win11/(676VN)/Đen</t>
        </is>
      </c>
      <c r="H12" s="5" t="n">
        <v>24718181.8182</v>
      </c>
      <c r="I12" s="5" t="n"/>
    </row>
    <row r="13">
      <c r="A13" t="inlineStr">
        <is>
          <t>GGAPI12</t>
        </is>
      </c>
      <c r="D13" t="inlineStr">
        <is>
          <t>0131491003974</t>
        </is>
      </c>
      <c r="E13" t="inlineStr">
        <is>
          <t>Samsung Galaxy S24 Ultra S928B (12G+256G) Đen</t>
        </is>
      </c>
      <c r="H13" s="5" t="n">
        <v>23447000</v>
      </c>
      <c r="I13" s="5" t="n"/>
    </row>
    <row r="14">
      <c r="A14" t="inlineStr">
        <is>
          <t>GGAPI13</t>
        </is>
      </c>
      <c r="D14" t="inlineStr">
        <is>
          <t>0220042002769</t>
        </is>
      </c>
      <c r="E14" t="inlineStr">
        <is>
          <t>Asus FX507VU i7 13620H/16GB/512GB/6GB RTX4050/15.6"F/144Hz/Win11/(LP186W)/Xám</t>
        </is>
      </c>
      <c r="H14" s="5" t="n">
        <v>23174090.9091</v>
      </c>
      <c r="I14" s="5" t="n"/>
    </row>
    <row r="15">
      <c r="A15" t="inlineStr">
        <is>
          <t>GGAPI14</t>
        </is>
      </c>
      <c r="D15" t="inlineStr">
        <is>
          <t>0220042002771</t>
        </is>
      </c>
      <c r="E15" t="inlineStr">
        <is>
          <t>Asus FA507NVR R7 7435HS/16GB/512GB/8GB RTX4060/15.6"F/144Hz/Win11/(LP007W)/Xám</t>
        </is>
      </c>
      <c r="H15" s="5" t="n">
        <v>22787727.2727</v>
      </c>
      <c r="I15" s="5" t="n"/>
    </row>
    <row r="16">
      <c r="A16" t="inlineStr">
        <is>
          <t>GGAPI15</t>
        </is>
      </c>
      <c r="D16" t="inlineStr">
        <is>
          <t>3041094001917</t>
        </is>
      </c>
      <c r="E16" t="inlineStr">
        <is>
          <t>Tivi OLED Samsung QA65S85FAEXXV</t>
        </is>
      </c>
      <c r="H16" s="5" t="n">
        <v>22682000</v>
      </c>
      <c r="I16" s="5" t="n"/>
    </row>
    <row r="17">
      <c r="A17" t="inlineStr">
        <is>
          <t>GGAPI16</t>
        </is>
      </c>
      <c r="D17" t="inlineStr">
        <is>
          <t>3041094001996</t>
        </is>
      </c>
      <c r="E17" t="inlineStr">
        <is>
          <t>TIVI OLED LG 65B5PSA</t>
        </is>
      </c>
      <c r="H17" s="5" t="n">
        <v>22681818</v>
      </c>
      <c r="I17" s="5" t="n"/>
    </row>
    <row r="18">
      <c r="A18" t="inlineStr">
        <is>
          <t>GGAPI17</t>
        </is>
      </c>
      <c r="D18" t="inlineStr">
        <is>
          <t>3041094001779</t>
        </is>
      </c>
      <c r="E18" t="inlineStr">
        <is>
          <t>Tivi OLED Samsung QA65S95D</t>
        </is>
      </c>
      <c r="H18" s="5" t="n">
        <v>22241000</v>
      </c>
      <c r="I18" s="5" t="n"/>
    </row>
    <row r="19">
      <c r="A19" t="inlineStr">
        <is>
          <t>GGAPI18</t>
        </is>
      </c>
      <c r="D19" t="inlineStr">
        <is>
          <t>0220042002768</t>
        </is>
      </c>
      <c r="E19" t="inlineStr">
        <is>
          <t>Asus FA507NUR R7 7435HS/16GB/512GB/6GB RTX4050/15.6"F/144Hz/Win11/(LP057W)/Xám</t>
        </is>
      </c>
      <c r="H19" s="5" t="n">
        <v>22015000</v>
      </c>
      <c r="I19" s="5" t="n"/>
    </row>
    <row r="20">
      <c r="A20" t="inlineStr">
        <is>
          <t>GGAPI19</t>
        </is>
      </c>
      <c r="D20" t="inlineStr">
        <is>
          <t>0220042002734</t>
        </is>
      </c>
      <c r="E20" t="inlineStr">
        <is>
          <t>HP Pavilion X360 14 ek2027TU Core 7 150U/16GB/512GB/14"F/Touch/Pen/Win11/(9Z2V9PA)/Vàng</t>
        </is>
      </c>
      <c r="H20" s="5" t="n">
        <v>21988181.8182</v>
      </c>
      <c r="I20" s="5" t="n"/>
    </row>
    <row r="21">
      <c r="A21" t="inlineStr">
        <is>
          <t>GGAPI20</t>
        </is>
      </c>
      <c r="D21" t="inlineStr">
        <is>
          <t>0131491004239</t>
        </is>
      </c>
      <c r="E21" t="inlineStr">
        <is>
          <t>Điện thoại iPhone 16 Plus 128GB Ultramarine</t>
        </is>
      </c>
      <c r="H21" s="5" t="n">
        <v>21958000</v>
      </c>
      <c r="I21" s="5" t="n"/>
    </row>
    <row r="22">
      <c r="A22" t="inlineStr">
        <is>
          <t>GGAPI21</t>
        </is>
      </c>
      <c r="D22" t="inlineStr">
        <is>
          <t>0131491004250</t>
        </is>
      </c>
      <c r="E22" t="inlineStr">
        <is>
          <t>Điện thoại iPhone 16 Pro 128GB Desert Titanium</t>
        </is>
      </c>
      <c r="H22" s="5" t="n">
        <v>21900000</v>
      </c>
      <c r="I22" s="5" t="n"/>
    </row>
    <row r="23">
      <c r="A23" t="inlineStr">
        <is>
          <t>GGAPI22</t>
        </is>
      </c>
      <c r="D23" t="inlineStr">
        <is>
          <t>0220042002684</t>
        </is>
      </c>
      <c r="E23" t="inlineStr">
        <is>
          <t>Acer Nitro V ANV15 51 55CA i5 13420H/16GB/512GB/6GB RTX4050/15.6"F/144Hz/Win11/(NH.QN8SV.004)/Đen</t>
        </is>
      </c>
      <c r="H23" s="5" t="n">
        <v>21629090.9091</v>
      </c>
      <c r="I23" s="5" t="n"/>
    </row>
    <row r="24">
      <c r="A24" t="inlineStr">
        <is>
          <t>GGAPI23</t>
        </is>
      </c>
      <c r="D24" t="inlineStr">
        <is>
          <t>0220042002738</t>
        </is>
      </c>
      <c r="E24" t="inlineStr">
        <is>
          <t>Dell Inspiron 16 5640 Core 7 150U/16GB/1TB/16"F/OfficeHS/Win11/(N5640-C7U161W11IBU)/Xanh</t>
        </is>
      </c>
      <c r="H24" s="5" t="n">
        <v>21242272.7273</v>
      </c>
      <c r="I24" s="5" t="n"/>
    </row>
    <row r="25">
      <c r="A25" t="inlineStr">
        <is>
          <t>GGAPI24</t>
        </is>
      </c>
      <c r="D25" t="inlineStr">
        <is>
          <t>0220042003167</t>
        </is>
      </c>
      <c r="E25" t="inlineStr">
        <is>
          <t>HP Pavilion 16 af0053TU Ultra 7 155U/16GB/512GB/16"F/OfficeHS+365/Win11/(AY8C2PA)/Bạc</t>
        </is>
      </c>
      <c r="H25" s="5" t="n">
        <v>21210909.0909</v>
      </c>
      <c r="I25" s="5" t="n"/>
    </row>
    <row r="26">
      <c r="A26" t="inlineStr">
        <is>
          <t>GGAPI25</t>
        </is>
      </c>
      <c r="D26" t="inlineStr">
        <is>
          <t>0220042002799</t>
        </is>
      </c>
      <c r="E26" t="inlineStr">
        <is>
          <t>HP VICTUS 16 s0173AX R5 7640HS/16GB/512GB/6GB RTX3050/16.1"F/144Hz/Win11/(A9LG9PA)/Đen</t>
        </is>
      </c>
      <c r="H26" s="5" t="n">
        <v>21163636.3636</v>
      </c>
      <c r="I26" s="5" t="n"/>
    </row>
    <row r="27">
      <c r="A27" t="inlineStr">
        <is>
          <t>GGAPI26</t>
        </is>
      </c>
      <c r="D27" t="inlineStr">
        <is>
          <t>0131491004445</t>
        </is>
      </c>
      <c r="E27" t="inlineStr">
        <is>
          <t>Samsung Galaxy S25+ S936B (12G+256G) Xám Bạc</t>
        </is>
      </c>
      <c r="H27" s="5" t="n">
        <v>21101000</v>
      </c>
      <c r="I27" s="5" t="n"/>
    </row>
    <row r="28">
      <c r="A28" t="inlineStr">
        <is>
          <t>GGAPI27</t>
        </is>
      </c>
      <c r="D28" t="inlineStr">
        <is>
          <t>0220042002672</t>
        </is>
      </c>
      <c r="E28" t="inlineStr">
        <is>
          <t>Asus S5606MA Ultra 5 125H/16GB/512GB/16"Q/120Hz/Win11/(MX050W)/Xanh</t>
        </is>
      </c>
      <c r="H28" s="5" t="n">
        <v>20865272.7273</v>
      </c>
      <c r="I28" s="5" t="n"/>
    </row>
    <row r="29">
      <c r="H29" s="5" t="n"/>
      <c r="I29" s="5" t="n"/>
    </row>
    <row r="30">
      <c r="H30" s="5" t="n"/>
      <c r="I30" s="5" t="n"/>
    </row>
    <row r="31">
      <c r="H31" s="5" t="n"/>
      <c r="I31" s="5" t="n"/>
    </row>
    <row r="32">
      <c r="H32" s="5" t="n"/>
      <c r="I32" s="5" t="n"/>
    </row>
    <row r="33">
      <c r="H33" s="5" t="n"/>
      <c r="I33" s="5" t="n"/>
    </row>
    <row r="34">
      <c r="H34" s="5" t="n"/>
      <c r="I34" s="5" t="n"/>
    </row>
    <row r="35">
      <c r="H35" s="5" t="n"/>
      <c r="I35" s="5" t="n"/>
    </row>
    <row r="36">
      <c r="H36" s="5" t="n"/>
      <c r="I36" s="5" t="n"/>
    </row>
    <row r="37">
      <c r="H37" s="5" t="n"/>
      <c r="I37" s="5" t="n"/>
    </row>
    <row r="38">
      <c r="H38" s="5" t="n"/>
      <c r="I38" s="5" t="n"/>
    </row>
    <row r="39">
      <c r="H39" s="5" t="n"/>
      <c r="I39" s="5" t="n"/>
    </row>
    <row r="40">
      <c r="H40" s="5" t="n"/>
      <c r="I40" s="5" t="n"/>
    </row>
    <row r="41">
      <c r="H41" s="5" t="n"/>
      <c r="I41" s="5" t="n"/>
    </row>
    <row r="42">
      <c r="H42" s="5" t="n"/>
      <c r="I42" s="5" t="n"/>
    </row>
    <row r="43">
      <c r="H43" s="5" t="n"/>
      <c r="I43" s="5" t="n"/>
    </row>
    <row r="44">
      <c r="H44" s="5" t="n"/>
      <c r="I44" s="5" t="n"/>
    </row>
    <row r="45">
      <c r="H45" s="5" t="n"/>
      <c r="I45" s="5" t="n"/>
    </row>
    <row r="46">
      <c r="H46" s="5" t="n"/>
      <c r="I46" s="5" t="n"/>
    </row>
    <row r="47">
      <c r="H47" s="5" t="n"/>
      <c r="I47" s="5" t="n"/>
    </row>
    <row r="48">
      <c r="H48" s="5" t="n"/>
      <c r="I48" s="5" t="n"/>
    </row>
    <row r="49">
      <c r="H49" s="5" t="n"/>
      <c r="I49" s="5" t="n"/>
    </row>
    <row r="50">
      <c r="H50" s="5" t="n"/>
      <c r="I50" s="5" t="n"/>
    </row>
    <row r="51">
      <c r="H51" s="5" t="n"/>
      <c r="I51" s="5" t="n"/>
    </row>
    <row r="52">
      <c r="H52" s="5" t="n"/>
      <c r="I52" s="5" t="n"/>
    </row>
    <row r="53">
      <c r="H53" s="5" t="n"/>
      <c r="I53" s="5" t="n"/>
    </row>
    <row r="54">
      <c r="H54" s="5" t="n"/>
      <c r="I54" s="5" t="n"/>
    </row>
    <row r="55">
      <c r="H55" s="5" t="n"/>
      <c r="I55" s="5" t="n"/>
    </row>
    <row r="56">
      <c r="H56" s="5" t="n"/>
      <c r="I56" s="5" t="n"/>
    </row>
    <row r="57">
      <c r="H57" s="5" t="n"/>
      <c r="I57" s="5" t="n"/>
    </row>
    <row r="58">
      <c r="H58" s="5" t="n"/>
      <c r="I58" s="5" t="n"/>
    </row>
    <row r="59">
      <c r="H59" s="5" t="n"/>
      <c r="I59" s="5" t="n"/>
    </row>
    <row r="60">
      <c r="H60" s="5" t="n"/>
      <c r="I60" s="5" t="n"/>
    </row>
    <row r="61">
      <c r="H61" s="5" t="n"/>
      <c r="I61" s="5" t="n"/>
    </row>
    <row r="62">
      <c r="H62" s="5" t="n"/>
      <c r="I62" s="5" t="n"/>
    </row>
    <row r="63">
      <c r="H63" s="5" t="n"/>
      <c r="I63" s="5" t="n"/>
    </row>
    <row r="64">
      <c r="H64" s="5" t="n"/>
      <c r="I64" s="5" t="n"/>
    </row>
    <row r="65">
      <c r="H65" s="5" t="n"/>
      <c r="I65" s="5" t="n"/>
    </row>
    <row r="66">
      <c r="H66" s="5" t="n"/>
      <c r="I66" s="5" t="n"/>
    </row>
    <row r="67">
      <c r="H67" s="5" t="n"/>
      <c r="I67" s="5" t="n"/>
    </row>
    <row r="68">
      <c r="H68" s="5" t="n"/>
      <c r="I68" s="5" t="n"/>
    </row>
    <row r="69">
      <c r="H69" s="5" t="n"/>
      <c r="I69" s="5" t="n"/>
    </row>
    <row r="70">
      <c r="H70" s="5" t="n"/>
      <c r="I70" s="5" t="n"/>
    </row>
    <row r="71">
      <c r="H71" s="5" t="n"/>
      <c r="I71" s="5" t="n"/>
    </row>
    <row r="72">
      <c r="H72" s="5" t="n"/>
      <c r="I72" s="5" t="n"/>
    </row>
    <row r="73">
      <c r="H73" s="5" t="n"/>
      <c r="I73" s="5" t="n"/>
    </row>
    <row r="74">
      <c r="H74" s="5" t="n"/>
      <c r="I74" s="5" t="n"/>
    </row>
    <row r="75">
      <c r="H75" s="5" t="n"/>
      <c r="I75" s="5" t="n"/>
    </row>
    <row r="76">
      <c r="H76" s="5" t="n"/>
      <c r="I76" s="5" t="n"/>
    </row>
    <row r="77">
      <c r="H77" s="5" t="n"/>
      <c r="I77" s="5" t="n"/>
    </row>
    <row r="78">
      <c r="H78" s="5" t="n"/>
      <c r="I78" s="5" t="n"/>
    </row>
    <row r="79">
      <c r="H79" s="5" t="n"/>
      <c r="I79" s="5" t="n"/>
    </row>
    <row r="80">
      <c r="H80" s="5" t="n"/>
      <c r="I80" s="5" t="n"/>
    </row>
    <row r="81">
      <c r="H81" s="5" t="n"/>
      <c r="I81" s="5" t="n"/>
    </row>
    <row r="82">
      <c r="H82" s="5" t="n"/>
      <c r="I82" s="5" t="n"/>
    </row>
    <row r="83">
      <c r="H83" s="5" t="n"/>
      <c r="I83" s="5" t="n"/>
    </row>
    <row r="84">
      <c r="H84" s="5" t="n"/>
      <c r="I84" s="5" t="n"/>
    </row>
    <row r="85">
      <c r="H85" s="5" t="n"/>
      <c r="I85" s="5" t="n"/>
    </row>
    <row r="86">
      <c r="H86" s="5" t="n"/>
      <c r="I86" s="5" t="n"/>
    </row>
    <row r="87">
      <c r="H87" s="5" t="n"/>
      <c r="I87" s="5" t="n"/>
    </row>
    <row r="88">
      <c r="H88" s="5" t="n"/>
      <c r="I88" s="5" t="n"/>
    </row>
    <row r="89">
      <c r="H89" s="5" t="n"/>
      <c r="I89" s="5" t="n"/>
    </row>
    <row r="90">
      <c r="H90" s="5" t="n"/>
      <c r="I90" s="5" t="n"/>
    </row>
    <row r="91">
      <c r="H91" s="5" t="n"/>
      <c r="I91" s="5" t="n"/>
    </row>
    <row r="92">
      <c r="H92" s="5" t="n"/>
      <c r="I92" s="5" t="n"/>
    </row>
    <row r="93">
      <c r="H93" s="5" t="n"/>
      <c r="I93" s="5" t="n"/>
    </row>
    <row r="94">
      <c r="H94" s="5" t="n"/>
      <c r="I94" s="5" t="n"/>
    </row>
    <row r="95">
      <c r="H95" s="5" t="n"/>
      <c r="I95" s="5" t="n"/>
    </row>
    <row r="96">
      <c r="H96" s="5" t="n"/>
      <c r="I96" s="5" t="n"/>
    </row>
    <row r="97">
      <c r="H97" s="5" t="n"/>
      <c r="I97" s="5" t="n"/>
    </row>
    <row r="98">
      <c r="H98" s="5" t="n"/>
      <c r="I98" s="5" t="n"/>
    </row>
    <row r="99">
      <c r="H99" s="5" t="n"/>
      <c r="I99" s="5" t="n"/>
    </row>
    <row r="100">
      <c r="H100" s="5" t="n"/>
      <c r="I100" s="5" t="n"/>
    </row>
    <row r="101">
      <c r="H101" s="5" t="n"/>
      <c r="I101" s="5" t="n"/>
    </row>
    <row r="102">
      <c r="H102" s="5" t="n"/>
      <c r="I102" s="5" t="n"/>
    </row>
    <row r="103">
      <c r="H103" s="5" t="n"/>
      <c r="I103" s="5" t="n"/>
    </row>
    <row r="104">
      <c r="H104" s="5" t="n"/>
      <c r="I104" s="5" t="n"/>
    </row>
    <row r="105">
      <c r="H105" s="5" t="n"/>
      <c r="I105" s="5" t="n"/>
    </row>
    <row r="106">
      <c r="H106" s="5" t="n"/>
      <c r="I106" s="5" t="n"/>
    </row>
    <row r="107">
      <c r="H107" s="5" t="n"/>
      <c r="I107" s="5" t="n"/>
    </row>
    <row r="108">
      <c r="H108" s="5" t="n"/>
      <c r="I108" s="5" t="n"/>
    </row>
    <row r="109">
      <c r="H109" s="5" t="n"/>
      <c r="I109" s="5" t="n"/>
    </row>
    <row r="110">
      <c r="H110" s="5" t="n"/>
      <c r="I110" s="5" t="n"/>
    </row>
    <row r="111">
      <c r="H111" s="5" t="n"/>
      <c r="I111" s="5" t="n"/>
    </row>
    <row r="112">
      <c r="H112" s="5" t="n"/>
      <c r="I112" s="5" t="n"/>
    </row>
    <row r="113">
      <c r="H113" s="5" t="n"/>
      <c r="I113" s="5" t="n"/>
    </row>
    <row r="114">
      <c r="H114" s="5" t="n"/>
      <c r="I114" s="5" t="n"/>
    </row>
    <row r="115">
      <c r="H115" s="5" t="n"/>
      <c r="I115" s="5" t="n"/>
    </row>
    <row r="116">
      <c r="H116" s="5" t="n"/>
      <c r="I116" s="5" t="n"/>
    </row>
    <row r="117">
      <c r="H117" s="5" t="n"/>
      <c r="I117" s="5" t="n"/>
    </row>
    <row r="118">
      <c r="H118" s="5" t="n"/>
      <c r="I118" s="5" t="n"/>
    </row>
    <row r="119">
      <c r="H119" s="5" t="n"/>
      <c r="I119" s="5" t="n"/>
    </row>
    <row r="120">
      <c r="H120" s="5" t="n"/>
      <c r="I120" s="5" t="n"/>
    </row>
    <row r="121">
      <c r="H121" s="5" t="n"/>
      <c r="I121" s="5" t="n"/>
    </row>
    <row r="122">
      <c r="H122" s="5" t="n"/>
      <c r="I122" s="5" t="n"/>
    </row>
    <row r="123">
      <c r="H123" s="5" t="n"/>
      <c r="I123" s="5" t="n"/>
    </row>
    <row r="124">
      <c r="H124" s="5" t="n"/>
      <c r="I124" s="5" t="n"/>
    </row>
    <row r="125">
      <c r="H125" s="5" t="n"/>
      <c r="I125" s="5" t="n"/>
    </row>
    <row r="126">
      <c r="H126" s="5" t="n"/>
      <c r="I126" s="5" t="n"/>
    </row>
    <row r="127">
      <c r="H127" s="5" t="n"/>
      <c r="I127" s="5" t="n"/>
    </row>
    <row r="128">
      <c r="H128" s="5" t="n"/>
      <c r="I128" s="5" t="n"/>
    </row>
    <row r="129">
      <c r="H129" s="5" t="n"/>
      <c r="I129" s="5" t="n"/>
    </row>
    <row r="130">
      <c r="H130" s="5" t="n"/>
      <c r="I130" s="5" t="n"/>
    </row>
    <row r="131">
      <c r="H131" s="5" t="n"/>
      <c r="I131" s="5" t="n"/>
    </row>
    <row r="132">
      <c r="H132" s="5" t="n"/>
      <c r="I132" s="5" t="n"/>
    </row>
    <row r="133">
      <c r="H133" s="5" t="n"/>
      <c r="I133" s="5" t="n"/>
    </row>
    <row r="134">
      <c r="H134" s="5" t="n"/>
      <c r="I134" s="5" t="n"/>
    </row>
    <row r="135">
      <c r="H135" s="5" t="n"/>
      <c r="I135" s="5" t="n"/>
    </row>
    <row r="136">
      <c r="H136" s="5" t="n"/>
      <c r="I136" s="5" t="n"/>
    </row>
    <row r="137">
      <c r="H137" s="5" t="n"/>
      <c r="I137" s="5" t="n"/>
    </row>
    <row r="138">
      <c r="H138" s="5" t="n"/>
      <c r="I138" s="5" t="n"/>
    </row>
    <row r="139">
      <c r="H139" s="5" t="n"/>
      <c r="I139" s="5" t="n"/>
    </row>
    <row r="140">
      <c r="H140" s="5" t="n"/>
      <c r="I140" s="5" t="n"/>
    </row>
    <row r="141">
      <c r="H141" s="5" t="n"/>
      <c r="I141" s="5" t="n"/>
    </row>
    <row r="142">
      <c r="H142" s="5" t="n"/>
      <c r="I142" s="5" t="n"/>
    </row>
    <row r="143">
      <c r="H143" s="5" t="n"/>
      <c r="I143" s="5" t="n"/>
    </row>
    <row r="144">
      <c r="H144" s="5" t="n"/>
      <c r="I144" s="5" t="n"/>
    </row>
    <row r="145">
      <c r="H145" s="5" t="n"/>
      <c r="I145" s="5" t="n"/>
    </row>
    <row r="146">
      <c r="H146" s="5" t="n"/>
      <c r="I146" s="5" t="n"/>
    </row>
    <row r="147">
      <c r="H147" s="5" t="n"/>
      <c r="I147" s="5" t="n"/>
    </row>
    <row r="148">
      <c r="H148" s="5" t="n"/>
      <c r="I148" s="5" t="n"/>
    </row>
    <row r="149">
      <c r="H149" s="5" t="n"/>
      <c r="I149" s="5" t="n"/>
    </row>
    <row r="150">
      <c r="H150" s="5" t="n"/>
      <c r="I150" s="5" t="n"/>
    </row>
    <row r="151">
      <c r="H151" s="5" t="n"/>
      <c r="I151" s="5" t="n"/>
    </row>
    <row r="152">
      <c r="H152" s="5" t="n"/>
      <c r="I152" s="5" t="n"/>
    </row>
    <row r="153">
      <c r="H153" s="5" t="n"/>
      <c r="I153" s="5" t="n"/>
    </row>
    <row r="154">
      <c r="H154" s="5" t="n"/>
      <c r="I154" s="5" t="n"/>
    </row>
    <row r="155">
      <c r="H155" s="5" t="n"/>
      <c r="I155" s="5" t="n"/>
    </row>
    <row r="156">
      <c r="H156" s="5" t="n"/>
      <c r="I156" s="5" t="n"/>
    </row>
    <row r="157">
      <c r="H157" s="5" t="n"/>
      <c r="I157" s="5" t="n"/>
    </row>
    <row r="158">
      <c r="H158" s="5" t="n"/>
      <c r="I158" s="5" t="n"/>
    </row>
    <row r="159">
      <c r="H159" s="5" t="n"/>
      <c r="I159" s="5" t="n"/>
    </row>
    <row r="160">
      <c r="H160" s="5" t="n"/>
      <c r="I160" s="5" t="n"/>
    </row>
    <row r="161">
      <c r="H161" s="5" t="n"/>
      <c r="I161" s="5" t="n"/>
    </row>
    <row r="162">
      <c r="H162" s="5" t="n"/>
      <c r="I162" s="5" t="n"/>
    </row>
    <row r="163">
      <c r="H163" s="5" t="n"/>
      <c r="I163" s="5" t="n"/>
    </row>
    <row r="164">
      <c r="H164" s="5" t="n"/>
      <c r="I164" s="5" t="n"/>
    </row>
    <row r="165">
      <c r="H165" s="5" t="n"/>
      <c r="I165" s="5" t="n"/>
    </row>
    <row r="166">
      <c r="H166" s="5" t="n"/>
      <c r="I166" s="5" t="n"/>
    </row>
    <row r="167">
      <c r="H167" s="5" t="n"/>
      <c r="I167" s="5" t="n"/>
    </row>
    <row r="168">
      <c r="H168" s="5" t="n"/>
      <c r="I168" s="5" t="n"/>
    </row>
    <row r="169">
      <c r="H169" s="5" t="n"/>
      <c r="I169" s="5" t="n"/>
    </row>
    <row r="170">
      <c r="H170" s="5" t="n"/>
      <c r="I170" s="5" t="n"/>
    </row>
    <row r="171">
      <c r="H171" s="5" t="n"/>
      <c r="I171" s="5" t="n"/>
    </row>
    <row r="172">
      <c r="H172" s="5" t="n"/>
      <c r="I172" s="5" t="n"/>
    </row>
    <row r="173">
      <c r="H173" s="5" t="n"/>
      <c r="I173" s="5" t="n"/>
    </row>
    <row r="174">
      <c r="H174" s="5" t="n"/>
      <c r="I174" s="5" t="n"/>
    </row>
    <row r="175">
      <c r="H175" s="5" t="n"/>
      <c r="I175" s="5" t="n"/>
    </row>
    <row r="176">
      <c r="H176" s="5" t="n"/>
      <c r="I176" s="5" t="n"/>
    </row>
    <row r="177">
      <c r="H177" s="5" t="n"/>
      <c r="I177" s="5" t="n"/>
    </row>
    <row r="178">
      <c r="H178" s="5" t="n"/>
      <c r="I178" s="5" t="n"/>
    </row>
    <row r="179">
      <c r="H179" s="5" t="n"/>
      <c r="I179" s="5" t="n"/>
    </row>
    <row r="180">
      <c r="H180" s="5" t="n"/>
      <c r="I180" s="5" t="n"/>
    </row>
    <row r="181">
      <c r="H181" s="5" t="n"/>
      <c r="I181" s="5" t="n"/>
    </row>
    <row r="182">
      <c r="H182" s="5" t="n"/>
      <c r="I182" s="5" t="n"/>
    </row>
    <row r="183">
      <c r="H183" s="5" t="n"/>
      <c r="I183" s="5" t="n"/>
    </row>
    <row r="184">
      <c r="H184" s="5" t="n"/>
      <c r="I184" s="5" t="n"/>
    </row>
    <row r="185">
      <c r="H185" s="5" t="n"/>
      <c r="I185" s="5" t="n"/>
    </row>
    <row r="186">
      <c r="H186" s="5" t="n"/>
      <c r="I186" s="5" t="n"/>
    </row>
    <row r="187">
      <c r="H187" s="5" t="n"/>
      <c r="I187" s="5" t="n"/>
    </row>
    <row r="188">
      <c r="H188" s="5" t="n"/>
      <c r="I188" s="5" t="n"/>
    </row>
    <row r="189">
      <c r="H189" s="5" t="n"/>
      <c r="I189" s="5" t="n"/>
    </row>
    <row r="190">
      <c r="H190" s="5" t="n"/>
      <c r="I190" s="5" t="n"/>
    </row>
    <row r="191">
      <c r="H191" s="5" t="n"/>
      <c r="I191" s="5" t="n"/>
    </row>
    <row r="192">
      <c r="H192" s="5" t="n"/>
      <c r="I192" s="5" t="n"/>
    </row>
    <row r="193">
      <c r="H193" s="5" t="n"/>
      <c r="I193" s="5" t="n"/>
    </row>
    <row r="194">
      <c r="H194" s="5" t="n"/>
      <c r="I194" s="5" t="n"/>
    </row>
    <row r="195">
      <c r="H195" s="5" t="n"/>
      <c r="I195" s="5" t="n"/>
    </row>
    <row r="196">
      <c r="H196" s="5" t="n"/>
      <c r="I196" s="5" t="n"/>
    </row>
    <row r="197">
      <c r="H197" s="5" t="n"/>
      <c r="I197" s="5" t="n"/>
    </row>
    <row r="198">
      <c r="H198" s="5" t="n"/>
      <c r="I198" s="5" t="n"/>
    </row>
    <row r="199">
      <c r="H199" s="5" t="n"/>
      <c r="I199" s="5" t="n"/>
    </row>
    <row r="200">
      <c r="H200" s="5" t="n"/>
      <c r="I200" s="5" t="n"/>
    </row>
    <row r="201">
      <c r="H201" s="5" t="n"/>
      <c r="I201" s="5" t="n"/>
    </row>
    <row r="202">
      <c r="H202" s="5" t="n"/>
      <c r="I202" s="5" t="n"/>
    </row>
    <row r="203">
      <c r="H203" s="5" t="n"/>
      <c r="I203" s="5" t="n"/>
    </row>
    <row r="204">
      <c r="H204" s="5" t="n"/>
      <c r="I204" s="5" t="n"/>
    </row>
    <row r="205">
      <c r="H205" s="5" t="n"/>
      <c r="I205" s="5" t="n"/>
    </row>
    <row r="206">
      <c r="H206" s="5" t="n"/>
      <c r="I206" s="5" t="n"/>
    </row>
    <row r="207">
      <c r="H207" s="5" t="n"/>
      <c r="I207" s="5" t="n"/>
    </row>
    <row r="208">
      <c r="H208" s="5" t="n"/>
      <c r="I208" s="5" t="n"/>
    </row>
    <row r="209">
      <c r="H209" s="5" t="n"/>
      <c r="I209" s="5" t="n"/>
    </row>
    <row r="210">
      <c r="H210" s="5" t="n"/>
      <c r="I210" s="5" t="n"/>
    </row>
    <row r="211">
      <c r="H211" s="5" t="n"/>
      <c r="I211" s="5" t="n"/>
    </row>
    <row r="212">
      <c r="H212" s="5" t="n"/>
      <c r="I212" s="5" t="n"/>
    </row>
    <row r="213">
      <c r="H213" s="5" t="n"/>
      <c r="I213" s="5" t="n"/>
    </row>
    <row r="214">
      <c r="H214" s="5" t="n"/>
      <c r="I214" s="5" t="n"/>
    </row>
    <row r="215">
      <c r="H215" s="5" t="n"/>
      <c r="I215" s="5" t="n"/>
    </row>
    <row r="216">
      <c r="H216" s="5" t="n"/>
      <c r="I216" s="5" t="n"/>
    </row>
    <row r="217">
      <c r="H217" s="5" t="n"/>
      <c r="I217" s="5" t="n"/>
    </row>
    <row r="218">
      <c r="H218" s="5" t="n"/>
      <c r="I218" s="5" t="n"/>
    </row>
    <row r="219">
      <c r="H219" s="5" t="n"/>
      <c r="I219" s="5" t="n"/>
    </row>
    <row r="220">
      <c r="H220" s="5" t="n"/>
      <c r="I220" s="5" t="n"/>
    </row>
    <row r="221">
      <c r="H221" s="5" t="n"/>
      <c r="I221" s="5" t="n"/>
    </row>
    <row r="222">
      <c r="H222" s="5" t="n"/>
      <c r="I222" s="5" t="n"/>
    </row>
    <row r="223">
      <c r="H223" s="5" t="n"/>
      <c r="I223" s="5" t="n"/>
    </row>
    <row r="224">
      <c r="H224" s="5" t="n"/>
      <c r="I224" s="5" t="n"/>
    </row>
    <row r="225">
      <c r="H225" s="5" t="n"/>
      <c r="I225" s="5" t="n"/>
    </row>
    <row r="226">
      <c r="H226" s="5" t="n"/>
      <c r="I226" s="5" t="n"/>
    </row>
    <row r="227">
      <c r="H227" s="5" t="n"/>
      <c r="I227" s="5" t="n"/>
    </row>
    <row r="228">
      <c r="H228" s="5" t="n"/>
      <c r="I228" s="5" t="n"/>
    </row>
    <row r="229">
      <c r="H229" s="5" t="n"/>
      <c r="I229" s="5" t="n"/>
    </row>
    <row r="230">
      <c r="H230" s="5" t="n"/>
      <c r="I230" s="5" t="n"/>
    </row>
    <row r="231">
      <c r="H231" s="5" t="n"/>
      <c r="I231" s="5" t="n"/>
    </row>
    <row r="232">
      <c r="H232" s="5" t="n"/>
      <c r="I232" s="5" t="n"/>
    </row>
    <row r="233">
      <c r="H233" s="5" t="n"/>
      <c r="I233" s="5" t="n"/>
    </row>
    <row r="234">
      <c r="H234" s="5" t="n"/>
      <c r="I234" s="5" t="n"/>
    </row>
    <row r="235">
      <c r="H235" s="5" t="n"/>
      <c r="I235" s="5" t="n"/>
    </row>
    <row r="236">
      <c r="H236" s="5" t="n"/>
      <c r="I236" s="5" t="n"/>
    </row>
    <row r="237">
      <c r="H237" s="5" t="n"/>
      <c r="I237" s="5" t="n"/>
    </row>
    <row r="238">
      <c r="H238" s="5" t="n"/>
      <c r="I238" s="5" t="n"/>
    </row>
    <row r="239">
      <c r="H239" s="5" t="n"/>
      <c r="I239" s="5" t="n"/>
    </row>
    <row r="240">
      <c r="H240" s="5" t="n"/>
      <c r="I240" s="5" t="n"/>
    </row>
    <row r="241">
      <c r="H241" s="5" t="n"/>
      <c r="I241" s="5" t="n"/>
    </row>
    <row r="242">
      <c r="H242" s="5" t="n"/>
      <c r="I242" s="5" t="n"/>
    </row>
    <row r="243">
      <c r="H243" s="5" t="n"/>
      <c r="I243" s="5" t="n"/>
    </row>
    <row r="244">
      <c r="H244" s="5" t="n"/>
      <c r="I244" s="5" t="n"/>
    </row>
    <row r="245">
      <c r="H245" s="5" t="n"/>
      <c r="I245" s="5" t="n"/>
    </row>
    <row r="246">
      <c r="H246" s="5" t="n"/>
      <c r="I246" s="5" t="n"/>
    </row>
    <row r="247">
      <c r="H247" s="5" t="n"/>
      <c r="I247" s="5" t="n"/>
    </row>
    <row r="248">
      <c r="H248" s="5" t="n"/>
      <c r="I248" s="5" t="n"/>
    </row>
    <row r="249">
      <c r="H249" s="5" t="n"/>
      <c r="I249" s="5" t="n"/>
    </row>
    <row r="250">
      <c r="H250" s="5" t="n"/>
      <c r="I250" s="5" t="n"/>
    </row>
    <row r="251">
      <c r="H251" s="5" t="n"/>
      <c r="I251" s="5" t="n"/>
    </row>
    <row r="252">
      <c r="H252" s="5" t="n"/>
      <c r="I252" s="5" t="n"/>
    </row>
    <row r="253">
      <c r="H253" s="5" t="n"/>
      <c r="I253" s="5" t="n"/>
    </row>
    <row r="254">
      <c r="H254" s="5" t="n"/>
      <c r="I254" s="5" t="n"/>
    </row>
    <row r="255">
      <c r="H255" s="5" t="n"/>
      <c r="I255" s="5" t="n"/>
    </row>
    <row r="256">
      <c r="H256" s="5" t="n"/>
      <c r="I256" s="5" t="n"/>
    </row>
    <row r="257">
      <c r="H257" s="5" t="n"/>
      <c r="I257" s="5" t="n"/>
    </row>
    <row r="258">
      <c r="H258" s="5" t="n"/>
      <c r="I258" s="5" t="n"/>
    </row>
    <row r="259">
      <c r="H259" s="5" t="n"/>
      <c r="I259" s="5" t="n"/>
    </row>
    <row r="260">
      <c r="H260" s="5" t="n"/>
      <c r="I260" s="5" t="n"/>
    </row>
    <row r="261">
      <c r="H261" s="5" t="n"/>
      <c r="I261" s="5" t="n"/>
    </row>
    <row r="262">
      <c r="H262" s="5" t="n"/>
      <c r="I262" s="5" t="n"/>
    </row>
    <row r="263">
      <c r="H263" s="5" t="n"/>
      <c r="I263" s="5" t="n"/>
    </row>
    <row r="264">
      <c r="H264" s="5" t="n"/>
      <c r="I264" s="5" t="n"/>
    </row>
    <row r="265">
      <c r="H265" s="5" t="n"/>
      <c r="I265" s="5" t="n"/>
    </row>
    <row r="266">
      <c r="H266" s="5" t="n"/>
      <c r="I266" s="5" t="n"/>
    </row>
    <row r="267">
      <c r="H267" s="5" t="n"/>
      <c r="I267" s="5" t="n"/>
    </row>
    <row r="268">
      <c r="H268" s="5" t="n"/>
      <c r="I268" s="5" t="n"/>
    </row>
    <row r="269">
      <c r="H269" s="5" t="n"/>
      <c r="I269" s="5" t="n"/>
    </row>
    <row r="270">
      <c r="H270" s="5" t="n"/>
      <c r="I270" s="5" t="n"/>
    </row>
    <row r="271">
      <c r="H271" s="5" t="n"/>
      <c r="I271" s="5" t="n"/>
    </row>
    <row r="272">
      <c r="H272" s="5" t="n"/>
      <c r="I272" s="5" t="n"/>
    </row>
    <row r="273">
      <c r="H273" s="5" t="n"/>
      <c r="I273" s="5" t="n"/>
    </row>
    <row r="274">
      <c r="H274" s="5" t="n"/>
      <c r="I274" s="5" t="n"/>
    </row>
    <row r="275">
      <c r="H275" s="5" t="n"/>
      <c r="I275" s="5" t="n"/>
    </row>
    <row r="276">
      <c r="H276" s="5" t="n"/>
      <c r="I276" s="5" t="n"/>
    </row>
    <row r="277">
      <c r="H277" s="5" t="n"/>
      <c r="I277" s="5" t="n"/>
    </row>
    <row r="278">
      <c r="H278" s="5" t="n"/>
      <c r="I278" s="5" t="n"/>
    </row>
    <row r="279">
      <c r="H279" s="5" t="n"/>
      <c r="I279" s="5" t="n"/>
    </row>
    <row r="280">
      <c r="H280" s="5" t="n"/>
      <c r="I280" s="5" t="n"/>
    </row>
    <row r="281">
      <c r="H281" s="5" t="n"/>
      <c r="I281" s="5" t="n"/>
    </row>
    <row r="282">
      <c r="H282" s="5" t="n"/>
      <c r="I282" s="5" t="n"/>
    </row>
    <row r="283">
      <c r="H283" s="5" t="n"/>
      <c r="I283" s="5" t="n"/>
    </row>
    <row r="284">
      <c r="H284" s="5" t="n"/>
      <c r="I284" s="5" t="n"/>
    </row>
    <row r="285">
      <c r="H285" s="5" t="n"/>
      <c r="I285" s="5" t="n"/>
    </row>
    <row r="286">
      <c r="H286" s="5" t="n"/>
      <c r="I286" s="5" t="n"/>
    </row>
    <row r="287">
      <c r="H287" s="5" t="n"/>
      <c r="I287" s="5" t="n"/>
    </row>
    <row r="288">
      <c r="H288" s="5" t="n"/>
      <c r="I288" s="5" t="n"/>
    </row>
    <row r="289">
      <c r="H289" s="5" t="n"/>
      <c r="I289" s="5" t="n"/>
    </row>
    <row r="290">
      <c r="H290" s="5" t="n"/>
      <c r="I290" s="5" t="n"/>
    </row>
    <row r="291">
      <c r="H291" s="5" t="n"/>
      <c r="I291" s="5" t="n"/>
    </row>
    <row r="292">
      <c r="H292" s="5" t="n"/>
      <c r="I292" s="5" t="n"/>
    </row>
    <row r="293">
      <c r="H293" s="5" t="n"/>
      <c r="I293" s="5" t="n"/>
    </row>
    <row r="294">
      <c r="H294" s="5" t="n"/>
      <c r="I294" s="5" t="n"/>
    </row>
    <row r="295">
      <c r="H295" s="5" t="n"/>
      <c r="I295" s="5" t="n"/>
    </row>
    <row r="296">
      <c r="H296" s="5" t="n"/>
      <c r="I296" s="5" t="n"/>
    </row>
    <row r="297">
      <c r="H297" s="5" t="n"/>
      <c r="I297" s="5" t="n"/>
    </row>
    <row r="298">
      <c r="H298" s="5" t="n"/>
      <c r="I298" s="5" t="n"/>
    </row>
    <row r="299">
      <c r="H299" s="5" t="n"/>
      <c r="I299" s="5" t="n"/>
    </row>
    <row r="300">
      <c r="H300" s="5" t="n"/>
      <c r="I300" s="5" t="n"/>
    </row>
    <row r="301">
      <c r="H301" s="5" t="n"/>
      <c r="I301" s="5" t="n"/>
    </row>
    <row r="302">
      <c r="H302" s="5" t="n"/>
      <c r="I302" s="5" t="n"/>
    </row>
    <row r="303">
      <c r="H303" s="5" t="n"/>
      <c r="I303" s="5" t="n"/>
    </row>
    <row r="304">
      <c r="H304" s="5" t="n"/>
      <c r="I304" s="5" t="n"/>
    </row>
    <row r="305">
      <c r="H305" s="5" t="n"/>
      <c r="I305" s="5" t="n"/>
    </row>
    <row r="306">
      <c r="H306" s="5" t="n"/>
      <c r="I306" s="5" t="n"/>
    </row>
    <row r="307">
      <c r="H307" s="5" t="n"/>
      <c r="I307" s="5" t="n"/>
    </row>
    <row r="308">
      <c r="H308" s="5" t="n"/>
      <c r="I308" s="5" t="n"/>
    </row>
    <row r="309">
      <c r="H309" s="5" t="n"/>
      <c r="I309" s="5" t="n"/>
    </row>
    <row r="310">
      <c r="H310" s="5" t="n"/>
      <c r="I310" s="5" t="n"/>
    </row>
    <row r="311">
      <c r="H311" s="5" t="n"/>
      <c r="I311" s="5" t="n"/>
    </row>
    <row r="312">
      <c r="H312" s="5" t="n"/>
      <c r="I312" s="5" t="n"/>
    </row>
    <row r="313">
      <c r="H313" s="5" t="n"/>
      <c r="I313" s="5" t="n"/>
    </row>
    <row r="314">
      <c r="H314" s="5" t="n"/>
      <c r="I314" s="5" t="n"/>
    </row>
    <row r="315">
      <c r="H315" s="5" t="n"/>
      <c r="I315" s="5" t="n"/>
    </row>
    <row r="316">
      <c r="H316" s="5" t="n"/>
      <c r="I316" s="5" t="n"/>
    </row>
    <row r="317">
      <c r="H317" s="5" t="n"/>
      <c r="I317" s="5" t="n"/>
    </row>
    <row r="318">
      <c r="H318" s="5" t="n"/>
      <c r="I318" s="5" t="n"/>
    </row>
    <row r="319">
      <c r="H319" s="5" t="n"/>
      <c r="I319" s="5" t="n"/>
    </row>
    <row r="320">
      <c r="H320" s="5" t="n"/>
      <c r="I320" s="5" t="n"/>
    </row>
    <row r="321">
      <c r="H321" s="5" t="n"/>
      <c r="I321" s="5" t="n"/>
    </row>
    <row r="322">
      <c r="H322" s="5" t="n"/>
      <c r="I322" s="5" t="n"/>
    </row>
    <row r="323">
      <c r="H323" s="5" t="n"/>
      <c r="I323" s="5" t="n"/>
    </row>
    <row r="324">
      <c r="H324" s="5" t="n"/>
      <c r="I324" s="5" t="n"/>
    </row>
    <row r="325">
      <c r="H325" s="5" t="n"/>
      <c r="I325" s="5" t="n"/>
    </row>
    <row r="326">
      <c r="H326" s="5" t="n"/>
      <c r="I326" s="5" t="n"/>
    </row>
    <row r="327">
      <c r="H327" s="5" t="n"/>
      <c r="I327" s="5" t="n"/>
    </row>
    <row r="328">
      <c r="H328" s="5" t="n"/>
      <c r="I328" s="5" t="n"/>
    </row>
    <row r="329">
      <c r="H329" s="5" t="n"/>
      <c r="I329" s="5" t="n"/>
    </row>
    <row r="330">
      <c r="H330" s="5" t="n"/>
      <c r="I330" s="5" t="n"/>
    </row>
    <row r="331">
      <c r="H331" s="5" t="n"/>
      <c r="I331" s="5" t="n"/>
    </row>
    <row r="332">
      <c r="H332" s="5" t="n"/>
      <c r="I332" s="5" t="n"/>
    </row>
    <row r="333">
      <c r="H333" s="5" t="n"/>
      <c r="I333" s="5" t="n"/>
    </row>
    <row r="334">
      <c r="H334" s="5" t="n"/>
      <c r="I334" s="5" t="n"/>
    </row>
    <row r="335">
      <c r="H335" s="5" t="n"/>
      <c r="I335" s="5" t="n"/>
    </row>
    <row r="336">
      <c r="H336" s="5" t="n"/>
      <c r="I336" s="5" t="n"/>
    </row>
    <row r="337">
      <c r="H337" s="5" t="n"/>
      <c r="I337" s="5" t="n"/>
    </row>
    <row r="338">
      <c r="H338" s="5" t="n"/>
      <c r="I338" s="5" t="n"/>
    </row>
    <row r="339">
      <c r="H339" s="5" t="n"/>
      <c r="I339" s="5" t="n"/>
    </row>
    <row r="340">
      <c r="H340" s="5" t="n"/>
      <c r="I340" s="5" t="n"/>
    </row>
    <row r="341">
      <c r="H341" s="5" t="n"/>
      <c r="I341" s="5" t="n"/>
    </row>
    <row r="342">
      <c r="H342" s="5" t="n"/>
      <c r="I342" s="5" t="n"/>
    </row>
    <row r="343">
      <c r="H343" s="5" t="n"/>
      <c r="I343" s="5" t="n"/>
    </row>
    <row r="344">
      <c r="H344" s="5" t="n"/>
      <c r="I344" s="5" t="n"/>
    </row>
    <row r="345">
      <c r="H345" s="5" t="n"/>
      <c r="I345" s="5" t="n"/>
    </row>
    <row r="346">
      <c r="H346" s="5" t="n"/>
      <c r="I346" s="5" t="n"/>
    </row>
    <row r="347">
      <c r="H347" s="5" t="n"/>
      <c r="I347" s="5" t="n"/>
    </row>
    <row r="348">
      <c r="H348" s="5" t="n"/>
      <c r="I348" s="5" t="n"/>
    </row>
    <row r="349">
      <c r="H349" s="5" t="n"/>
      <c r="I349" s="5" t="n"/>
    </row>
    <row r="350">
      <c r="H350" s="5" t="n"/>
      <c r="I350" s="5" t="n"/>
    </row>
    <row r="351">
      <c r="H351" s="5" t="n"/>
      <c r="I351" s="5" t="n"/>
    </row>
    <row r="352">
      <c r="H352" s="5" t="n"/>
      <c r="I352" s="5" t="n"/>
    </row>
    <row r="353">
      <c r="H353" s="5" t="n"/>
      <c r="I353" s="5" t="n"/>
    </row>
    <row r="354">
      <c r="H354" s="5" t="n"/>
      <c r="I354" s="5" t="n"/>
    </row>
    <row r="355">
      <c r="H355" s="5" t="n"/>
      <c r="I355" s="5" t="n"/>
    </row>
    <row r="356">
      <c r="H356" s="5" t="n"/>
      <c r="I356" s="5" t="n"/>
    </row>
    <row r="357">
      <c r="H357" s="5" t="n"/>
      <c r="I357" s="5" t="n"/>
    </row>
    <row r="358">
      <c r="H358" s="5" t="n"/>
      <c r="I358" s="5" t="n"/>
    </row>
    <row r="359">
      <c r="H359" s="5" t="n"/>
      <c r="I359" s="5" t="n"/>
    </row>
    <row r="360">
      <c r="H360" s="5" t="n"/>
      <c r="I360" s="5" t="n"/>
    </row>
    <row r="361">
      <c r="H361" s="5" t="n"/>
      <c r="I361" s="5" t="n"/>
    </row>
    <row r="362">
      <c r="H362" s="5" t="n"/>
      <c r="I362" s="5" t="n"/>
    </row>
    <row r="363">
      <c r="H363" s="5" t="n"/>
      <c r="I363" s="5" t="n"/>
    </row>
    <row r="364">
      <c r="H364" s="5" t="n"/>
      <c r="I364" s="5" t="n"/>
    </row>
    <row r="365">
      <c r="H365" s="5" t="n"/>
      <c r="I365" s="5" t="n"/>
    </row>
    <row r="366">
      <c r="H366" s="5" t="n"/>
      <c r="I366" s="5" t="n"/>
    </row>
    <row r="367">
      <c r="H367" s="5" t="n"/>
      <c r="I367" s="5" t="n"/>
    </row>
    <row r="368">
      <c r="H368" s="5" t="n"/>
      <c r="I368" s="5" t="n"/>
    </row>
    <row r="369">
      <c r="H369" s="5" t="n"/>
      <c r="I369" s="5" t="n"/>
    </row>
    <row r="370">
      <c r="H370" s="5" t="n"/>
      <c r="I370" s="5" t="n"/>
    </row>
    <row r="371">
      <c r="H371" s="5" t="n"/>
      <c r="I371" s="5" t="n"/>
    </row>
    <row r="372">
      <c r="H372" s="5" t="n"/>
      <c r="I372" s="5" t="n"/>
    </row>
    <row r="373">
      <c r="H373" s="5" t="n"/>
      <c r="I373" s="5" t="n"/>
    </row>
    <row r="374">
      <c r="H374" s="5" t="n"/>
      <c r="I374" s="5" t="n"/>
    </row>
    <row r="375">
      <c r="H375" s="5" t="n"/>
      <c r="I375" s="5" t="n"/>
    </row>
    <row r="376">
      <c r="H376" s="5" t="n"/>
      <c r="I376" s="5" t="n"/>
    </row>
    <row r="377">
      <c r="H377" s="5" t="n"/>
      <c r="I377" s="5" t="n"/>
    </row>
    <row r="378">
      <c r="H378" s="5" t="n"/>
      <c r="I378" s="5" t="n"/>
    </row>
    <row r="379">
      <c r="H379" s="5" t="n"/>
      <c r="I379" s="5" t="n"/>
    </row>
    <row r="380">
      <c r="H380" s="5" t="n"/>
      <c r="I380" s="5" t="n"/>
    </row>
    <row r="381">
      <c r="H381" s="5" t="n"/>
      <c r="I381" s="5" t="n"/>
    </row>
    <row r="382">
      <c r="H382" s="5" t="n"/>
      <c r="I382" s="5" t="n"/>
    </row>
    <row r="383">
      <c r="H383" s="5" t="n"/>
      <c r="I383" s="5" t="n"/>
    </row>
    <row r="384">
      <c r="H384" s="5" t="n"/>
      <c r="I384" s="5" t="n"/>
    </row>
    <row r="385">
      <c r="H385" s="5" t="n"/>
      <c r="I385" s="5" t="n"/>
    </row>
    <row r="386">
      <c r="H386" s="5" t="n"/>
      <c r="I386" s="5" t="n"/>
    </row>
    <row r="387">
      <c r="H387" s="5" t="n"/>
      <c r="I387" s="5" t="n"/>
    </row>
    <row r="388">
      <c r="H388" s="5" t="n"/>
      <c r="I388" s="5" t="n"/>
    </row>
    <row r="389">
      <c r="H389" s="5" t="n"/>
      <c r="I389" s="5" t="n"/>
    </row>
    <row r="390">
      <c r="H390" s="5" t="n"/>
      <c r="I390" s="5" t="n"/>
    </row>
    <row r="391">
      <c r="H391" s="5" t="n"/>
      <c r="I391" s="5" t="n"/>
    </row>
    <row r="392">
      <c r="H392" s="5" t="n"/>
      <c r="I392" s="5" t="n"/>
    </row>
    <row r="393">
      <c r="H393" s="5" t="n"/>
      <c r="I393" s="5" t="n"/>
    </row>
    <row r="394">
      <c r="H394" s="5" t="n"/>
      <c r="I394" s="5" t="n"/>
    </row>
    <row r="395">
      <c r="H395" s="5" t="n"/>
      <c r="I395" s="5" t="n"/>
    </row>
    <row r="396">
      <c r="H396" s="5" t="n"/>
      <c r="I396" s="5" t="n"/>
    </row>
    <row r="397">
      <c r="H397" s="5" t="n"/>
      <c r="I397" s="5" t="n"/>
    </row>
    <row r="398">
      <c r="H398" s="5" t="n"/>
      <c r="I398" s="5" t="n"/>
    </row>
    <row r="399">
      <c r="H399" s="5" t="n"/>
      <c r="I399" s="5" t="n"/>
    </row>
    <row r="400">
      <c r="H400" s="5" t="n"/>
      <c r="I400" s="5" t="n"/>
    </row>
    <row r="401">
      <c r="H401" s="5" t="n"/>
      <c r="I401" s="5" t="n"/>
    </row>
    <row r="402">
      <c r="H402" s="5" t="n"/>
      <c r="I402" s="5" t="n"/>
    </row>
    <row r="403">
      <c r="H403" s="5" t="n"/>
      <c r="I403" s="5" t="n"/>
    </row>
    <row r="404">
      <c r="H404" s="5" t="n"/>
      <c r="I404" s="5" t="n"/>
    </row>
    <row r="405">
      <c r="H405" s="5" t="n"/>
      <c r="I405" s="5" t="n"/>
    </row>
    <row r="406">
      <c r="H406" s="5" t="n"/>
      <c r="I406" s="5" t="n"/>
    </row>
    <row r="407">
      <c r="H407" s="5" t="n"/>
      <c r="I407" s="5" t="n"/>
    </row>
    <row r="408">
      <c r="H408" s="5" t="n"/>
      <c r="I408" s="5" t="n"/>
    </row>
    <row r="409">
      <c r="H409" s="5" t="n"/>
      <c r="I409" s="5" t="n"/>
    </row>
    <row r="410">
      <c r="H410" s="5" t="n"/>
      <c r="I410" s="5" t="n"/>
    </row>
    <row r="411">
      <c r="H411" s="5" t="n"/>
      <c r="I411" s="5" t="n"/>
    </row>
    <row r="412">
      <c r="H412" s="5" t="n"/>
      <c r="I412" s="5" t="n"/>
    </row>
    <row r="413">
      <c r="H413" s="5" t="n"/>
      <c r="I413" s="5" t="n"/>
    </row>
    <row r="414">
      <c r="H414" s="5" t="n"/>
      <c r="I414" s="5" t="n"/>
    </row>
    <row r="415">
      <c r="H415" s="5" t="n"/>
      <c r="I415" s="5" t="n"/>
    </row>
    <row r="416">
      <c r="H416" s="5" t="n"/>
      <c r="I416" s="5" t="n"/>
    </row>
    <row r="417">
      <c r="H417" s="5" t="n"/>
      <c r="I417" s="5" t="n"/>
    </row>
    <row r="418">
      <c r="H418" s="5" t="n"/>
      <c r="I418" s="5" t="n"/>
    </row>
    <row r="419">
      <c r="H419" s="5" t="n"/>
      <c r="I419" s="5" t="n"/>
    </row>
    <row r="420">
      <c r="H420" s="5" t="n"/>
      <c r="I420" s="5" t="n"/>
    </row>
    <row r="421">
      <c r="H421" s="5" t="n"/>
      <c r="I421" s="5" t="n"/>
    </row>
    <row r="422">
      <c r="H422" s="5" t="n"/>
      <c r="I422" s="5" t="n"/>
    </row>
    <row r="423">
      <c r="H423" s="5" t="n"/>
      <c r="I423" s="5" t="n"/>
    </row>
    <row r="424">
      <c r="H424" s="5" t="n"/>
      <c r="I424" s="5" t="n"/>
    </row>
    <row r="425">
      <c r="H425" s="5" t="n"/>
      <c r="I425" s="5" t="n"/>
    </row>
    <row r="426">
      <c r="H426" s="5" t="n"/>
      <c r="I426" s="5" t="n"/>
    </row>
    <row r="427">
      <c r="H427" s="5" t="n"/>
      <c r="I427" s="5" t="n"/>
    </row>
    <row r="428">
      <c r="H428" s="5" t="n"/>
      <c r="I428" s="5" t="n"/>
    </row>
    <row r="429">
      <c r="H429" s="5" t="n"/>
      <c r="I429" s="5" t="n"/>
    </row>
    <row r="430">
      <c r="H430" s="5" t="n"/>
      <c r="I430" s="5" t="n"/>
    </row>
    <row r="431">
      <c r="H431" s="5" t="n"/>
      <c r="I431" s="5" t="n"/>
    </row>
    <row r="432">
      <c r="H432" s="5" t="n"/>
      <c r="I432" s="5" t="n"/>
    </row>
    <row r="433">
      <c r="H433" s="5" t="n"/>
      <c r="I433" s="5" t="n"/>
    </row>
    <row r="434">
      <c r="H434" s="5" t="n"/>
      <c r="I434" s="5" t="n"/>
    </row>
    <row r="435">
      <c r="H435" s="5" t="n"/>
      <c r="I435" s="5" t="n"/>
    </row>
    <row r="436">
      <c r="H436" s="5" t="n"/>
      <c r="I436" s="5" t="n"/>
    </row>
    <row r="437">
      <c r="H437" s="5" t="n"/>
      <c r="I437" s="5" t="n"/>
    </row>
    <row r="438">
      <c r="H438" s="5" t="n"/>
      <c r="I438" s="5" t="n"/>
    </row>
    <row r="439">
      <c r="H439" s="5" t="n"/>
      <c r="I439" s="5" t="n"/>
    </row>
    <row r="440">
      <c r="H440" s="5" t="n"/>
      <c r="I440" s="5" t="n"/>
    </row>
    <row r="441">
      <c r="H441" s="5" t="n"/>
      <c r="I441" s="5" t="n"/>
    </row>
    <row r="442">
      <c r="H442" s="5" t="n"/>
      <c r="I442" s="5" t="n"/>
    </row>
    <row r="443">
      <c r="H443" s="5" t="n"/>
      <c r="I443" s="5" t="n"/>
    </row>
    <row r="444">
      <c r="H444" s="5" t="n"/>
      <c r="I444" s="5" t="n"/>
    </row>
    <row r="445">
      <c r="H445" s="5" t="n"/>
      <c r="I445" s="5" t="n"/>
    </row>
    <row r="446">
      <c r="H446" s="5" t="n"/>
      <c r="I446" s="5" t="n"/>
    </row>
    <row r="447">
      <c r="H447" s="5" t="n"/>
      <c r="I447" s="5" t="n"/>
    </row>
    <row r="448">
      <c r="H448" s="5" t="n"/>
      <c r="I448" s="5" t="n"/>
    </row>
    <row r="449">
      <c r="H449" s="5" t="n"/>
      <c r="I449" s="5" t="n"/>
    </row>
    <row r="450">
      <c r="H450" s="5" t="n"/>
      <c r="I450" s="5" t="n"/>
    </row>
    <row r="451">
      <c r="H451" s="5" t="n"/>
      <c r="I451" s="5" t="n"/>
    </row>
    <row r="452">
      <c r="H452" s="5" t="n"/>
      <c r="I452" s="5" t="n"/>
    </row>
    <row r="453">
      <c r="H453" s="5" t="n"/>
      <c r="I453" s="5" t="n"/>
    </row>
    <row r="454">
      <c r="H454" s="5" t="n"/>
      <c r="I454" s="5" t="n"/>
    </row>
    <row r="455">
      <c r="H455" s="5" t="n"/>
      <c r="I455" s="5" t="n"/>
    </row>
    <row r="456">
      <c r="H456" s="5" t="n"/>
      <c r="I456" s="5" t="n"/>
    </row>
    <row r="457">
      <c r="H457" s="5" t="n"/>
      <c r="I457" s="5" t="n"/>
    </row>
    <row r="458">
      <c r="H458" s="5" t="n"/>
      <c r="I458" s="5" t="n"/>
    </row>
    <row r="459">
      <c r="H459" s="5" t="n"/>
      <c r="I459" s="5" t="n"/>
    </row>
    <row r="460">
      <c r="H460" s="5" t="n"/>
      <c r="I460" s="5" t="n"/>
    </row>
    <row r="461">
      <c r="H461" s="5" t="n"/>
      <c r="I461" s="5" t="n"/>
    </row>
    <row r="462">
      <c r="H462" s="5" t="n"/>
      <c r="I462" s="5" t="n"/>
    </row>
    <row r="463">
      <c r="H463" s="5" t="n"/>
      <c r="I463" s="5" t="n"/>
    </row>
    <row r="464">
      <c r="H464" s="5" t="n"/>
      <c r="I464" s="5" t="n"/>
    </row>
    <row r="465">
      <c r="H465" s="5" t="n"/>
      <c r="I465" s="5" t="n"/>
    </row>
    <row r="466">
      <c r="H466" s="5" t="n"/>
      <c r="I466" s="5" t="n"/>
    </row>
    <row r="467">
      <c r="H467" s="5" t="n"/>
      <c r="I467" s="5" t="n"/>
    </row>
    <row r="468">
      <c r="H468" s="5" t="n"/>
      <c r="I468" s="5" t="n"/>
    </row>
    <row r="469">
      <c r="H469" s="5" t="n"/>
      <c r="I469" s="5" t="n"/>
    </row>
    <row r="470">
      <c r="H470" s="5" t="n"/>
      <c r="I470" s="5" t="n"/>
    </row>
    <row r="471">
      <c r="H471" s="5" t="n"/>
      <c r="I471" s="5" t="n"/>
    </row>
    <row r="472">
      <c r="H472" s="5" t="n"/>
      <c r="I472" s="5" t="n"/>
    </row>
    <row r="473">
      <c r="H473" s="5" t="n"/>
      <c r="I473" s="5" t="n"/>
    </row>
    <row r="474">
      <c r="H474" s="5" t="n"/>
      <c r="I474" s="5" t="n"/>
    </row>
    <row r="475">
      <c r="H475" s="5" t="n"/>
      <c r="I475" s="5" t="n"/>
    </row>
    <row r="476">
      <c r="H476" s="5" t="n"/>
      <c r="I476" s="5" t="n"/>
    </row>
    <row r="477">
      <c r="H477" s="5" t="n"/>
      <c r="I477" s="5" t="n"/>
    </row>
    <row r="478">
      <c r="H478" s="5" t="n"/>
      <c r="I478" s="5" t="n"/>
    </row>
    <row r="479">
      <c r="H479" s="5" t="n"/>
      <c r="I479" s="5" t="n"/>
    </row>
    <row r="480">
      <c r="H480" s="5" t="n"/>
      <c r="I480" s="5" t="n"/>
    </row>
    <row r="481">
      <c r="H481" s="5" t="n"/>
      <c r="I481" s="5" t="n"/>
    </row>
    <row r="482">
      <c r="H482" s="5" t="n"/>
      <c r="I482" s="5" t="n"/>
    </row>
    <row r="483">
      <c r="H483" s="5" t="n"/>
      <c r="I483" s="5" t="n"/>
    </row>
    <row r="484">
      <c r="H484" s="5" t="n"/>
      <c r="I484" s="5" t="n"/>
    </row>
    <row r="485">
      <c r="H485" s="5" t="n"/>
      <c r="I485" s="5" t="n"/>
    </row>
    <row r="486">
      <c r="H486" s="5" t="n"/>
      <c r="I486" s="5" t="n"/>
    </row>
    <row r="487">
      <c r="H487" s="5" t="n"/>
      <c r="I487" s="5" t="n"/>
    </row>
    <row r="488">
      <c r="H488" s="5" t="n"/>
      <c r="I488" s="5" t="n"/>
    </row>
    <row r="489">
      <c r="H489" s="5" t="n"/>
      <c r="I489" s="5" t="n"/>
    </row>
    <row r="490">
      <c r="H490" s="5" t="n"/>
      <c r="I490" s="5" t="n"/>
    </row>
    <row r="491">
      <c r="H491" s="5" t="n"/>
      <c r="I491" s="5" t="n"/>
    </row>
    <row r="492">
      <c r="H492" s="5" t="n"/>
      <c r="I492" s="5" t="n"/>
    </row>
    <row r="493">
      <c r="H493" s="5" t="n"/>
      <c r="I493" s="5" t="n"/>
    </row>
    <row r="494">
      <c r="H494" s="5" t="n"/>
      <c r="I494" s="5" t="n"/>
    </row>
    <row r="495">
      <c r="H495" s="5" t="n"/>
      <c r="I495" s="5" t="n"/>
    </row>
    <row r="496">
      <c r="H496" s="5" t="n"/>
      <c r="I496" s="5" t="n"/>
    </row>
    <row r="497">
      <c r="H497" s="5" t="n"/>
      <c r="I497" s="5" t="n"/>
    </row>
    <row r="498">
      <c r="H498" s="5" t="n"/>
      <c r="I498" s="5" t="n"/>
    </row>
    <row r="499">
      <c r="H499" s="5" t="n"/>
      <c r="I499" s="5" t="n"/>
    </row>
    <row r="500">
      <c r="H500" s="5" t="n"/>
      <c r="I500" s="5" t="n"/>
    </row>
    <row r="501">
      <c r="H501" s="5" t="n"/>
      <c r="I501" s="5" t="n"/>
    </row>
    <row r="502">
      <c r="H502" s="5" t="n"/>
      <c r="I502" s="5" t="n"/>
    </row>
    <row r="503">
      <c r="H503" s="5" t="n"/>
      <c r="I503" s="5" t="n"/>
    </row>
    <row r="504">
      <c r="H504" s="5" t="n"/>
      <c r="I504" s="5" t="n"/>
    </row>
    <row r="505">
      <c r="H505" s="5" t="n"/>
      <c r="I505" s="5" t="n"/>
    </row>
    <row r="506">
      <c r="H506" s="5" t="n"/>
      <c r="I506" s="5" t="n"/>
    </row>
    <row r="507">
      <c r="H507" s="5" t="n"/>
      <c r="I507" s="5" t="n"/>
    </row>
    <row r="508">
      <c r="H508" s="5" t="n"/>
      <c r="I508" s="5" t="n"/>
    </row>
    <row r="509">
      <c r="H509" s="5" t="n"/>
      <c r="I509" s="5" t="n"/>
    </row>
    <row r="510">
      <c r="H510" s="5" t="n"/>
      <c r="I510" s="5" t="n"/>
    </row>
    <row r="511">
      <c r="H511" s="5" t="n"/>
      <c r="I511" s="5" t="n"/>
    </row>
    <row r="512">
      <c r="H512" s="5" t="n"/>
      <c r="I512" s="5" t="n"/>
    </row>
    <row r="513">
      <c r="H513" s="5" t="n"/>
      <c r="I513" s="5" t="n"/>
    </row>
    <row r="514">
      <c r="H514" s="5" t="n"/>
      <c r="I514" s="5" t="n"/>
    </row>
    <row r="515">
      <c r="H515" s="5" t="n"/>
      <c r="I515" s="5" t="n"/>
    </row>
    <row r="516">
      <c r="H516" s="5" t="n"/>
      <c r="I516" s="5" t="n"/>
    </row>
    <row r="517">
      <c r="H517" s="5" t="n"/>
      <c r="I517" s="5" t="n"/>
    </row>
    <row r="518">
      <c r="H518" s="5" t="n"/>
      <c r="I518" s="5" t="n"/>
    </row>
    <row r="519">
      <c r="H519" s="5" t="n"/>
      <c r="I519" s="5" t="n"/>
    </row>
    <row r="520">
      <c r="H520" s="5" t="n"/>
      <c r="I520" s="5" t="n"/>
    </row>
    <row r="521">
      <c r="H521" s="5" t="n"/>
      <c r="I521" s="5" t="n"/>
    </row>
    <row r="522">
      <c r="H522" s="5" t="n"/>
      <c r="I522" s="5" t="n"/>
    </row>
    <row r="523">
      <c r="H523" s="5" t="n"/>
      <c r="I523" s="5" t="n"/>
    </row>
    <row r="524">
      <c r="H524" s="5" t="n"/>
      <c r="I524" s="5" t="n"/>
    </row>
    <row r="525">
      <c r="H525" s="5" t="n"/>
      <c r="I525" s="5" t="n"/>
    </row>
    <row r="526">
      <c r="H526" s="5" t="n"/>
      <c r="I526" s="5" t="n"/>
    </row>
    <row r="527">
      <c r="H527" s="5" t="n"/>
      <c r="I527" s="5" t="n"/>
    </row>
    <row r="528">
      <c r="H528" s="5" t="n"/>
      <c r="I528" s="5" t="n"/>
    </row>
    <row r="529">
      <c r="H529" s="5" t="n"/>
      <c r="I529" s="5" t="n"/>
    </row>
    <row r="530">
      <c r="H530" s="5" t="n"/>
      <c r="I530" s="5" t="n"/>
    </row>
    <row r="531">
      <c r="H531" s="5" t="n"/>
      <c r="I531" s="5" t="n"/>
    </row>
    <row r="532">
      <c r="H532" s="5" t="n"/>
      <c r="I532" s="5" t="n"/>
    </row>
    <row r="533">
      <c r="H533" s="5" t="n"/>
      <c r="I533" s="5" t="n"/>
    </row>
    <row r="534">
      <c r="H534" s="5" t="n"/>
      <c r="I534" s="5" t="n"/>
    </row>
    <row r="535">
      <c r="H535" s="5" t="n"/>
      <c r="I535" s="5" t="n"/>
    </row>
    <row r="536">
      <c r="H536" s="5" t="n"/>
      <c r="I536" s="5" t="n"/>
    </row>
    <row r="537">
      <c r="H537" s="5" t="n"/>
      <c r="I537" s="5" t="n"/>
    </row>
    <row r="538">
      <c r="H538" s="5" t="n"/>
      <c r="I538" s="5" t="n"/>
    </row>
    <row r="539">
      <c r="H539" s="5" t="n"/>
      <c r="I539" s="5" t="n"/>
    </row>
    <row r="540">
      <c r="H540" s="5" t="n"/>
      <c r="I540" s="5" t="n"/>
    </row>
    <row r="541">
      <c r="H541" s="5" t="n"/>
      <c r="I541" s="5" t="n"/>
    </row>
    <row r="542">
      <c r="H542" s="5" t="n"/>
      <c r="I542" s="5" t="n"/>
    </row>
    <row r="543">
      <c r="H543" s="5" t="n"/>
      <c r="I543" s="5" t="n"/>
    </row>
    <row r="544">
      <c r="H544" s="5" t="n"/>
      <c r="I544" s="5" t="n"/>
    </row>
    <row r="545">
      <c r="H545" s="5" t="n"/>
      <c r="I545" s="5" t="n"/>
    </row>
    <row r="546">
      <c r="H546" s="5" t="n"/>
      <c r="I546" s="5" t="n"/>
    </row>
    <row r="547">
      <c r="H547" s="5" t="n"/>
      <c r="I547" s="5" t="n"/>
    </row>
    <row r="548">
      <c r="H548" s="5" t="n"/>
      <c r="I548" s="5" t="n"/>
    </row>
    <row r="549">
      <c r="H549" s="5" t="n"/>
      <c r="I549" s="5" t="n"/>
    </row>
    <row r="550">
      <c r="H550" s="5" t="n"/>
      <c r="I550" s="5" t="n"/>
    </row>
    <row r="551">
      <c r="H551" s="5" t="n"/>
      <c r="I551" s="5" t="n"/>
    </row>
    <row r="552">
      <c r="H552" s="5" t="n"/>
      <c r="I552" s="5" t="n"/>
    </row>
    <row r="553">
      <c r="H553" s="5" t="n"/>
      <c r="I553" s="5" t="n"/>
    </row>
    <row r="554">
      <c r="H554" s="5" t="n"/>
      <c r="I554" s="5" t="n"/>
    </row>
    <row r="555">
      <c r="H555" s="5" t="n"/>
      <c r="I555" s="5" t="n"/>
    </row>
    <row r="556">
      <c r="H556" s="5" t="n"/>
      <c r="I556" s="5" t="n"/>
    </row>
    <row r="557">
      <c r="H557" s="5" t="n"/>
      <c r="I557" s="5" t="n"/>
    </row>
    <row r="558">
      <c r="H558" s="5" t="n"/>
      <c r="I558" s="5" t="n"/>
    </row>
    <row r="559">
      <c r="H559" s="5" t="n"/>
      <c r="I559" s="5" t="n"/>
    </row>
    <row r="560">
      <c r="H560" s="5" t="n"/>
      <c r="I560" s="5" t="n"/>
    </row>
    <row r="561">
      <c r="H561" s="5" t="n"/>
      <c r="I561" s="5" t="n"/>
    </row>
    <row r="562">
      <c r="H562" s="5" t="n"/>
      <c r="I562" s="5" t="n"/>
    </row>
    <row r="563">
      <c r="H563" s="5" t="n"/>
      <c r="I563" s="5" t="n"/>
    </row>
    <row r="564">
      <c r="H564" s="5" t="n"/>
      <c r="I564" s="5" t="n"/>
    </row>
    <row r="565">
      <c r="H565" s="5" t="n"/>
      <c r="I565" s="5" t="n"/>
    </row>
    <row r="566">
      <c r="H566" s="5" t="n"/>
      <c r="I566" s="5" t="n"/>
    </row>
    <row r="567">
      <c r="H567" s="5" t="n"/>
      <c r="I567" s="5" t="n"/>
    </row>
    <row r="568">
      <c r="H568" s="5" t="n"/>
      <c r="I568" s="5" t="n"/>
    </row>
    <row r="569">
      <c r="H569" s="5" t="n"/>
      <c r="I569" s="5" t="n"/>
    </row>
    <row r="570">
      <c r="H570" s="5" t="n"/>
      <c r="I570" s="5" t="n"/>
    </row>
    <row r="571">
      <c r="H571" s="5" t="n"/>
      <c r="I571" s="5" t="n"/>
    </row>
    <row r="572">
      <c r="H572" s="5" t="n"/>
      <c r="I572" s="5" t="n"/>
    </row>
    <row r="573">
      <c r="H573" s="5" t="n"/>
      <c r="I573" s="5" t="n"/>
    </row>
    <row r="574">
      <c r="H574" s="5" t="n"/>
      <c r="I574" s="5" t="n"/>
    </row>
    <row r="575">
      <c r="H575" s="5" t="n"/>
      <c r="I575" s="5" t="n"/>
    </row>
    <row r="576">
      <c r="H576" s="5" t="n"/>
      <c r="I576" s="5" t="n"/>
    </row>
    <row r="577">
      <c r="H577" s="5" t="n"/>
      <c r="I577" s="5" t="n"/>
    </row>
    <row r="578">
      <c r="H578" s="5" t="n"/>
      <c r="I578" s="5" t="n"/>
    </row>
    <row r="579">
      <c r="H579" s="5" t="n"/>
      <c r="I579" s="5" t="n"/>
    </row>
    <row r="580">
      <c r="H580" s="5" t="n"/>
      <c r="I580" s="5" t="n"/>
    </row>
    <row r="581">
      <c r="H581" s="5" t="n"/>
      <c r="I581" s="5" t="n"/>
    </row>
    <row r="582">
      <c r="H582" s="5" t="n"/>
      <c r="I582" s="5" t="n"/>
    </row>
    <row r="583">
      <c r="H583" s="5" t="n"/>
      <c r="I583" s="5" t="n"/>
    </row>
    <row r="584">
      <c r="H584" s="5" t="n"/>
      <c r="I584" s="5" t="n"/>
    </row>
    <row r="585">
      <c r="H585" s="5" t="n"/>
      <c r="I585" s="5" t="n"/>
    </row>
    <row r="586">
      <c r="H586" s="5" t="n"/>
      <c r="I586" s="5" t="n"/>
    </row>
    <row r="587">
      <c r="H587" s="5" t="n"/>
      <c r="I587" s="5" t="n"/>
    </row>
    <row r="588">
      <c r="H588" s="5" t="n"/>
      <c r="I588" s="5" t="n"/>
    </row>
    <row r="589">
      <c r="H589" s="5" t="n"/>
      <c r="I589" s="5" t="n"/>
    </row>
    <row r="590">
      <c r="H590" s="5" t="n"/>
      <c r="I590" s="5" t="n"/>
    </row>
    <row r="591">
      <c r="H591" s="5" t="n"/>
      <c r="I591" s="5" t="n"/>
    </row>
    <row r="592">
      <c r="H592" s="5" t="n"/>
      <c r="I592" s="5" t="n"/>
    </row>
    <row r="593">
      <c r="H593" s="5" t="n"/>
      <c r="I593" s="5" t="n"/>
    </row>
    <row r="594">
      <c r="H594" s="5" t="n"/>
      <c r="I594" s="5" t="n"/>
    </row>
    <row r="595">
      <c r="H595" s="5" t="n"/>
      <c r="I595" s="5" t="n"/>
    </row>
    <row r="596">
      <c r="H596" s="5" t="n"/>
      <c r="I596" s="5" t="n"/>
    </row>
    <row r="597">
      <c r="H597" s="5" t="n"/>
      <c r="I597" s="5" t="n"/>
    </row>
    <row r="598">
      <c r="H598" s="5" t="n"/>
      <c r="I598" s="5" t="n"/>
    </row>
    <row r="599">
      <c r="H599" s="5" t="n"/>
      <c r="I599" s="5" t="n"/>
    </row>
    <row r="600">
      <c r="H600" s="5" t="n"/>
      <c r="I600" s="5" t="n"/>
    </row>
    <row r="601">
      <c r="H601" s="5" t="n"/>
      <c r="I601" s="5" t="n"/>
    </row>
    <row r="602">
      <c r="H602" s="5" t="n"/>
      <c r="I602" s="5" t="n"/>
    </row>
    <row r="603">
      <c r="H603" s="5" t="n"/>
      <c r="I603" s="5" t="n"/>
    </row>
    <row r="604">
      <c r="H604" s="5" t="n"/>
      <c r="I604" s="5" t="n"/>
    </row>
    <row r="605">
      <c r="H605" s="5" t="n"/>
      <c r="I605" s="5" t="n"/>
    </row>
    <row r="606">
      <c r="H606" s="5" t="n"/>
      <c r="I606" s="5" t="n"/>
    </row>
    <row r="607">
      <c r="H607" s="5" t="n"/>
      <c r="I607" s="5" t="n"/>
    </row>
    <row r="608">
      <c r="H608" s="5" t="n"/>
      <c r="I608" s="5" t="n"/>
    </row>
    <row r="609">
      <c r="H609" s="5" t="n"/>
      <c r="I609" s="5" t="n"/>
    </row>
    <row r="610">
      <c r="H610" s="5" t="n"/>
      <c r="I610" s="5" t="n"/>
    </row>
    <row r="611">
      <c r="H611" s="5" t="n"/>
      <c r="I611" s="5" t="n"/>
    </row>
    <row r="612">
      <c r="H612" s="5" t="n"/>
      <c r="I612" s="5" t="n"/>
    </row>
    <row r="613">
      <c r="H613" s="5" t="n"/>
      <c r="I613" s="5" t="n"/>
    </row>
    <row r="614">
      <c r="H614" s="5" t="n"/>
      <c r="I614" s="5" t="n"/>
    </row>
    <row r="615">
      <c r="H615" s="5" t="n"/>
      <c r="I615" s="5" t="n"/>
    </row>
    <row r="616">
      <c r="H616" s="5" t="n"/>
      <c r="I616" s="5" t="n"/>
    </row>
    <row r="617">
      <c r="H617" s="5" t="n"/>
      <c r="I617" s="5" t="n"/>
    </row>
    <row r="618">
      <c r="H618" s="5" t="n"/>
      <c r="I618" s="5" t="n"/>
    </row>
    <row r="619">
      <c r="H619" s="5" t="n"/>
      <c r="I619" s="5" t="n"/>
    </row>
    <row r="620">
      <c r="H620" s="5" t="n"/>
      <c r="I620" s="5" t="n"/>
    </row>
    <row r="621">
      <c r="H621" s="5" t="n"/>
      <c r="I621" s="5" t="n"/>
    </row>
    <row r="622">
      <c r="H622" s="5" t="n"/>
      <c r="I622" s="5" t="n"/>
    </row>
    <row r="623">
      <c r="H623" s="5" t="n"/>
      <c r="I623" s="5" t="n"/>
    </row>
    <row r="624">
      <c r="H624" s="5" t="n"/>
      <c r="I624" s="5" t="n"/>
    </row>
    <row r="625">
      <c r="H625" s="5" t="n"/>
      <c r="I625" s="5" t="n"/>
    </row>
    <row r="626">
      <c r="H626" s="5" t="n"/>
      <c r="I626" s="5" t="n"/>
    </row>
    <row r="627">
      <c r="H627" s="5" t="n"/>
      <c r="I627" s="5" t="n"/>
    </row>
    <row r="628">
      <c r="H628" s="5" t="n"/>
      <c r="I628" s="5" t="n"/>
    </row>
    <row r="629">
      <c r="H629" s="5" t="n"/>
      <c r="I629" s="5" t="n"/>
    </row>
    <row r="630">
      <c r="H630" s="5" t="n"/>
      <c r="I630" s="5" t="n"/>
    </row>
    <row r="631">
      <c r="H631" s="5" t="n"/>
      <c r="I631" s="5" t="n"/>
    </row>
    <row r="632">
      <c r="H632" s="5" t="n"/>
      <c r="I632" s="5" t="n"/>
    </row>
    <row r="633">
      <c r="H633" s="5" t="n"/>
      <c r="I633" s="5" t="n"/>
    </row>
    <row r="634">
      <c r="H634" s="5" t="n"/>
      <c r="I634" s="5" t="n"/>
    </row>
    <row r="635">
      <c r="H635" s="5" t="n"/>
      <c r="I635" s="5" t="n"/>
    </row>
    <row r="636">
      <c r="H636" s="5" t="n"/>
      <c r="I636" s="5" t="n"/>
    </row>
    <row r="637">
      <c r="H637" s="5" t="n"/>
      <c r="I637" s="5" t="n"/>
    </row>
    <row r="638">
      <c r="H638" s="5" t="n"/>
      <c r="I638" s="5" t="n"/>
    </row>
    <row r="639">
      <c r="H639" s="5" t="n"/>
      <c r="I639" s="5" t="n"/>
    </row>
    <row r="640">
      <c r="H640" s="5" t="n"/>
      <c r="I640" s="5" t="n"/>
    </row>
    <row r="641">
      <c r="H641" s="5" t="n"/>
      <c r="I641" s="5" t="n"/>
    </row>
    <row r="642">
      <c r="H642" s="5" t="n"/>
      <c r="I642" s="5" t="n"/>
    </row>
    <row r="643">
      <c r="H643" s="5" t="n"/>
      <c r="I643" s="5" t="n"/>
    </row>
    <row r="644">
      <c r="H644" s="5" t="n"/>
      <c r="I644" s="5" t="n"/>
    </row>
    <row r="645">
      <c r="H645" s="5" t="n"/>
      <c r="I645" s="5" t="n"/>
    </row>
    <row r="646">
      <c r="H646" s="5" t="n"/>
      <c r="I646" s="5" t="n"/>
    </row>
    <row r="647">
      <c r="H647" s="5" t="n"/>
      <c r="I647" s="5" t="n"/>
    </row>
    <row r="648">
      <c r="H648" s="5" t="n"/>
      <c r="I648" s="5" t="n"/>
    </row>
    <row r="649">
      <c r="H649" s="5" t="n"/>
      <c r="I649" s="5" t="n"/>
    </row>
    <row r="650">
      <c r="H650" s="5" t="n"/>
      <c r="I650" s="5" t="n"/>
    </row>
    <row r="651">
      <c r="H651" s="5" t="n"/>
      <c r="I651" s="5" t="n"/>
    </row>
    <row r="652">
      <c r="H652" s="5" t="n"/>
      <c r="I652" s="5" t="n"/>
    </row>
    <row r="653">
      <c r="H653" s="5" t="n"/>
      <c r="I653" s="5" t="n"/>
    </row>
    <row r="654">
      <c r="H654" s="5" t="n"/>
      <c r="I654" s="5" t="n"/>
    </row>
    <row r="655">
      <c r="H655" s="5" t="n"/>
      <c r="I655" s="5" t="n"/>
    </row>
    <row r="656">
      <c r="H656" s="5" t="n"/>
      <c r="I656" s="5" t="n"/>
    </row>
    <row r="657">
      <c r="H657" s="5" t="n"/>
      <c r="I657" s="5" t="n"/>
    </row>
    <row r="658">
      <c r="H658" s="5" t="n"/>
      <c r="I658" s="5" t="n"/>
    </row>
    <row r="659">
      <c r="H659" s="5" t="n"/>
      <c r="I659" s="5" t="n"/>
    </row>
    <row r="660">
      <c r="H660" s="5" t="n"/>
      <c r="I660" s="5" t="n"/>
    </row>
    <row r="661">
      <c r="H661" s="5" t="n"/>
      <c r="I661" s="5" t="n"/>
    </row>
    <row r="662">
      <c r="H662" s="5" t="n"/>
      <c r="I662" s="5" t="n"/>
    </row>
    <row r="663">
      <c r="H663" s="5" t="n"/>
      <c r="I663" s="5" t="n"/>
    </row>
    <row r="664">
      <c r="H664" s="5" t="n"/>
      <c r="I664" s="5" t="n"/>
    </row>
    <row r="665">
      <c r="H665" s="5" t="n"/>
      <c r="I665" s="5" t="n"/>
    </row>
    <row r="666">
      <c r="H666" s="5" t="n"/>
      <c r="I666" s="5" t="n"/>
    </row>
    <row r="667">
      <c r="H667" s="5" t="n"/>
      <c r="I667" s="5" t="n"/>
    </row>
    <row r="668">
      <c r="H668" s="5" t="n"/>
      <c r="I668" s="5" t="n"/>
    </row>
    <row r="669">
      <c r="H669" s="5" t="n"/>
      <c r="I669" s="5" t="n"/>
    </row>
    <row r="670">
      <c r="H670" s="5" t="n"/>
      <c r="I670" s="5" t="n"/>
    </row>
    <row r="671">
      <c r="H671" s="5" t="n"/>
      <c r="I671" s="5" t="n"/>
    </row>
    <row r="672">
      <c r="H672" s="5" t="n"/>
      <c r="I672" s="5" t="n"/>
    </row>
    <row r="673">
      <c r="H673" s="5" t="n"/>
      <c r="I673" s="5" t="n"/>
    </row>
    <row r="674">
      <c r="H674" s="5" t="n"/>
      <c r="I674" s="5" t="n"/>
    </row>
    <row r="675">
      <c r="H675" s="5" t="n"/>
      <c r="I675" s="5" t="n"/>
    </row>
    <row r="676">
      <c r="H676" s="5" t="n"/>
      <c r="I676" s="5" t="n"/>
    </row>
    <row r="677">
      <c r="H677" s="5" t="n"/>
      <c r="I677" s="5" t="n"/>
    </row>
    <row r="678">
      <c r="H678" s="5" t="n"/>
      <c r="I678" s="5" t="n"/>
    </row>
    <row r="679">
      <c r="H679" s="5" t="n"/>
      <c r="I679" s="5" t="n"/>
    </row>
    <row r="680">
      <c r="H680" s="5" t="n"/>
      <c r="I680" s="5" t="n"/>
    </row>
    <row r="681">
      <c r="H681" s="5" t="n"/>
      <c r="I681" s="5" t="n"/>
    </row>
    <row r="682">
      <c r="H682" s="5" t="n"/>
      <c r="I682" s="5" t="n"/>
    </row>
    <row r="683">
      <c r="H683" s="5" t="n"/>
      <c r="I683" s="5" t="n"/>
    </row>
    <row r="684">
      <c r="H684" s="5" t="n"/>
      <c r="I684" s="5" t="n"/>
    </row>
    <row r="685">
      <c r="H685" s="5" t="n"/>
      <c r="I685" s="5" t="n"/>
    </row>
    <row r="686">
      <c r="H686" s="5" t="n"/>
      <c r="I686" s="5" t="n"/>
    </row>
    <row r="687">
      <c r="H687" s="5" t="n"/>
      <c r="I687" s="5" t="n"/>
    </row>
    <row r="688">
      <c r="H688" s="5" t="n"/>
      <c r="I688" s="5" t="n"/>
    </row>
    <row r="689">
      <c r="H689" s="5" t="n"/>
      <c r="I689" s="5" t="n"/>
    </row>
    <row r="690">
      <c r="H690" s="5" t="n"/>
      <c r="I690" s="5" t="n"/>
    </row>
    <row r="691">
      <c r="H691" s="5" t="n"/>
      <c r="I691" s="5" t="n"/>
    </row>
    <row r="692">
      <c r="H692" s="5" t="n"/>
      <c r="I692" s="5" t="n"/>
    </row>
    <row r="693">
      <c r="H693" s="5" t="n"/>
      <c r="I693" s="5" t="n"/>
    </row>
    <row r="694">
      <c r="H694" s="5" t="n"/>
      <c r="I694" s="5" t="n"/>
    </row>
    <row r="695">
      <c r="H695" s="5" t="n"/>
      <c r="I695" s="5" t="n"/>
    </row>
    <row r="696">
      <c r="H696" s="5" t="n"/>
      <c r="I696" s="5" t="n"/>
    </row>
    <row r="697">
      <c r="H697" s="5" t="n"/>
      <c r="I697" s="5" t="n"/>
    </row>
    <row r="698">
      <c r="H698" s="5" t="n"/>
      <c r="I698" s="5" t="n"/>
    </row>
    <row r="699">
      <c r="H699" s="5" t="n"/>
      <c r="I699" s="5" t="n"/>
    </row>
    <row r="700">
      <c r="H700" s="5" t="n"/>
      <c r="I700" s="5" t="n"/>
    </row>
    <row r="701">
      <c r="H701" s="5" t="n"/>
      <c r="I701" s="5" t="n"/>
    </row>
    <row r="702">
      <c r="H702" s="5" t="n"/>
      <c r="I702" s="5" t="n"/>
    </row>
    <row r="703">
      <c r="H703" s="5" t="n"/>
      <c r="I703" s="5" t="n"/>
    </row>
    <row r="704">
      <c r="H704" s="5" t="n"/>
      <c r="I704" s="5" t="n"/>
    </row>
    <row r="705">
      <c r="H705" s="5" t="n"/>
      <c r="I705" s="5" t="n"/>
    </row>
    <row r="706">
      <c r="H706" s="5" t="n"/>
      <c r="I706" s="5" t="n"/>
    </row>
    <row r="707">
      <c r="H707" s="5" t="n"/>
      <c r="I707" s="5" t="n"/>
    </row>
    <row r="708">
      <c r="H708" s="5" t="n"/>
      <c r="I708" s="5" t="n"/>
    </row>
    <row r="709">
      <c r="H709" s="5" t="n"/>
      <c r="I709" s="5" t="n"/>
    </row>
    <row r="710">
      <c r="H710" s="5" t="n"/>
      <c r="I710" s="5" t="n"/>
    </row>
    <row r="711">
      <c r="H711" s="5" t="n"/>
      <c r="I711" s="5" t="n"/>
    </row>
    <row r="712">
      <c r="H712" s="5" t="n"/>
      <c r="I712" s="5" t="n"/>
    </row>
    <row r="713">
      <c r="H713" s="5" t="n"/>
      <c r="I713" s="5" t="n"/>
    </row>
    <row r="714">
      <c r="H714" s="5" t="n"/>
      <c r="I714" s="5" t="n"/>
    </row>
    <row r="715">
      <c r="H715" s="5" t="n"/>
      <c r="I715" s="5" t="n"/>
    </row>
    <row r="716">
      <c r="H716" s="5" t="n"/>
      <c r="I716" s="5" t="n"/>
    </row>
    <row r="717">
      <c r="H717" s="5" t="n"/>
      <c r="I717" s="5" t="n"/>
    </row>
    <row r="718">
      <c r="H718" s="5" t="n"/>
      <c r="I718" s="5" t="n"/>
    </row>
    <row r="719">
      <c r="H719" s="5" t="n"/>
      <c r="I719" s="5" t="n"/>
    </row>
    <row r="720">
      <c r="H720" s="5" t="n"/>
      <c r="I720" s="5" t="n"/>
    </row>
    <row r="721">
      <c r="H721" s="5" t="n"/>
      <c r="I721" s="5" t="n"/>
    </row>
    <row r="722">
      <c r="H722" s="5" t="n"/>
      <c r="I722" s="5" t="n"/>
    </row>
    <row r="723">
      <c r="H723" s="5" t="n"/>
      <c r="I723" s="5" t="n"/>
    </row>
    <row r="724">
      <c r="H724" s="5" t="n"/>
      <c r="I724" s="5" t="n"/>
    </row>
    <row r="725">
      <c r="H725" s="5" t="n"/>
      <c r="I725" s="5" t="n"/>
    </row>
    <row r="726">
      <c r="H726" s="5" t="n"/>
      <c r="I726" s="5" t="n"/>
    </row>
    <row r="727">
      <c r="H727" s="5" t="n"/>
      <c r="I727" s="5" t="n"/>
    </row>
    <row r="728">
      <c r="H728" s="5" t="n"/>
      <c r="I728" s="5" t="n"/>
    </row>
    <row r="729">
      <c r="H729" s="5" t="n"/>
      <c r="I729" s="5" t="n"/>
    </row>
    <row r="730">
      <c r="H730" s="5" t="n"/>
      <c r="I730" s="5" t="n"/>
    </row>
    <row r="731">
      <c r="H731" s="5" t="n"/>
      <c r="I731" s="5" t="n"/>
    </row>
    <row r="732">
      <c r="H732" s="5" t="n"/>
      <c r="I732" s="5" t="n"/>
    </row>
    <row r="733">
      <c r="H733" s="5" t="n"/>
      <c r="I733" s="5" t="n"/>
    </row>
    <row r="734">
      <c r="H734" s="5" t="n"/>
      <c r="I734" s="5" t="n"/>
    </row>
    <row r="735">
      <c r="H735" s="5" t="n"/>
      <c r="I735" s="5" t="n"/>
    </row>
    <row r="736">
      <c r="H736" s="5" t="n"/>
      <c r="I736" s="5" t="n"/>
    </row>
    <row r="737">
      <c r="H737" s="5" t="n"/>
      <c r="I737" s="5" t="n"/>
    </row>
    <row r="738">
      <c r="H738" s="5" t="n"/>
      <c r="I738" s="5" t="n"/>
    </row>
    <row r="739">
      <c r="H739" s="5" t="n"/>
      <c r="I739" s="5" t="n"/>
    </row>
    <row r="740">
      <c r="H740" s="5" t="n"/>
      <c r="I740" s="5" t="n"/>
    </row>
    <row r="741">
      <c r="H741" s="5" t="n"/>
      <c r="I741" s="5" t="n"/>
    </row>
    <row r="742">
      <c r="H742" s="5" t="n"/>
      <c r="I742" s="5" t="n"/>
    </row>
    <row r="743">
      <c r="H743" s="5" t="n"/>
      <c r="I743" s="5" t="n"/>
    </row>
    <row r="744">
      <c r="H744" s="5" t="n"/>
      <c r="I744" s="5" t="n"/>
    </row>
    <row r="745">
      <c r="H745" s="5" t="n"/>
      <c r="I745" s="5" t="n"/>
    </row>
    <row r="746">
      <c r="H746" s="5" t="n"/>
      <c r="I746" s="5" t="n"/>
    </row>
    <row r="747">
      <c r="H747" s="5" t="n"/>
      <c r="I747" s="5" t="n"/>
    </row>
    <row r="748">
      <c r="H748" s="5" t="n"/>
      <c r="I748" s="5" t="n"/>
    </row>
    <row r="749">
      <c r="H749" s="5" t="n"/>
      <c r="I749" s="5" t="n"/>
    </row>
    <row r="750">
      <c r="H750" s="5" t="n"/>
      <c r="I750" s="5" t="n"/>
    </row>
    <row r="751">
      <c r="H751" s="5" t="n"/>
      <c r="I751" s="5" t="n"/>
    </row>
    <row r="752">
      <c r="H752" s="5" t="n"/>
      <c r="I752" s="5" t="n"/>
    </row>
    <row r="753">
      <c r="H753" s="5" t="n"/>
      <c r="I753" s="5" t="n"/>
    </row>
    <row r="754">
      <c r="H754" s="5" t="n"/>
      <c r="I754" s="5" t="n"/>
    </row>
    <row r="755">
      <c r="H755" s="5" t="n"/>
      <c r="I755" s="5" t="n"/>
    </row>
    <row r="756">
      <c r="H756" s="5" t="n"/>
      <c r="I756" s="5" t="n"/>
    </row>
    <row r="757">
      <c r="H757" s="5" t="n"/>
      <c r="I757" s="5" t="n"/>
    </row>
    <row r="758">
      <c r="H758" s="5" t="n"/>
      <c r="I758" s="5" t="n"/>
    </row>
    <row r="759">
      <c r="H759" s="5" t="n"/>
      <c r="I759" s="5" t="n"/>
    </row>
    <row r="760">
      <c r="H760" s="5" t="n"/>
      <c r="I760" s="5" t="n"/>
    </row>
    <row r="761">
      <c r="H761" s="5" t="n"/>
      <c r="I761" s="5" t="n"/>
    </row>
    <row r="762">
      <c r="H762" s="5" t="n"/>
      <c r="I762" s="5" t="n"/>
    </row>
    <row r="763">
      <c r="H763" s="5" t="n"/>
      <c r="I763" s="5" t="n"/>
    </row>
    <row r="764">
      <c r="H764" s="5" t="n"/>
      <c r="I764" s="5" t="n"/>
    </row>
    <row r="765">
      <c r="H765" s="5" t="n"/>
      <c r="I765" s="5" t="n"/>
    </row>
    <row r="766">
      <c r="H766" s="5" t="n"/>
      <c r="I766" s="5" t="n"/>
    </row>
    <row r="767">
      <c r="H767" s="5" t="n"/>
      <c r="I767" s="5" t="n"/>
    </row>
    <row r="768">
      <c r="H768" s="5" t="n"/>
      <c r="I768" s="5" t="n"/>
    </row>
    <row r="769">
      <c r="H769" s="5" t="n"/>
      <c r="I769" s="5" t="n"/>
    </row>
    <row r="770">
      <c r="H770" s="5" t="n"/>
      <c r="I770" s="5" t="n"/>
    </row>
    <row r="771">
      <c r="H771" s="5" t="n"/>
      <c r="I771" s="5" t="n"/>
    </row>
    <row r="772">
      <c r="H772" s="5" t="n"/>
      <c r="I772" s="5" t="n"/>
    </row>
    <row r="773">
      <c r="H773" s="5" t="n"/>
      <c r="I773" s="5" t="n"/>
    </row>
    <row r="774">
      <c r="H774" s="5" t="n"/>
      <c r="I774" s="5" t="n"/>
    </row>
    <row r="775">
      <c r="H775" s="5" t="n"/>
      <c r="I775" s="5" t="n"/>
    </row>
    <row r="776">
      <c r="H776" s="5" t="n"/>
      <c r="I776" s="5" t="n"/>
    </row>
    <row r="777">
      <c r="H777" s="5" t="n"/>
      <c r="I777" s="5" t="n"/>
    </row>
    <row r="778">
      <c r="H778" s="5" t="n"/>
      <c r="I778" s="5" t="n"/>
    </row>
    <row r="779">
      <c r="H779" s="5" t="n"/>
      <c r="I779" s="5" t="n"/>
    </row>
    <row r="780">
      <c r="H780" s="5" t="n"/>
      <c r="I780" s="5" t="n"/>
    </row>
    <row r="781">
      <c r="H781" s="5" t="n"/>
      <c r="I781" s="5" t="n"/>
    </row>
    <row r="782">
      <c r="H782" s="5" t="n"/>
      <c r="I782" s="5" t="n"/>
    </row>
    <row r="783">
      <c r="H783" s="5" t="n"/>
      <c r="I783" s="5" t="n"/>
    </row>
    <row r="784">
      <c r="H784" s="5" t="n"/>
      <c r="I784" s="5" t="n"/>
    </row>
    <row r="785">
      <c r="H785" s="5" t="n"/>
      <c r="I785" s="5" t="n"/>
    </row>
    <row r="786">
      <c r="H786" s="5" t="n"/>
      <c r="I786" s="5" t="n"/>
    </row>
    <row r="787">
      <c r="H787" s="5" t="n"/>
      <c r="I787" s="5" t="n"/>
    </row>
    <row r="788">
      <c r="H788" s="5" t="n"/>
      <c r="I788" s="5" t="n"/>
    </row>
    <row r="789">
      <c r="H789" s="5" t="n"/>
      <c r="I789" s="5" t="n"/>
    </row>
    <row r="790">
      <c r="H790" s="5" t="n"/>
      <c r="I790" s="5" t="n"/>
    </row>
    <row r="791">
      <c r="H791" s="5" t="n"/>
      <c r="I791" s="5" t="n"/>
    </row>
    <row r="792">
      <c r="H792" s="5" t="n"/>
      <c r="I792" s="5" t="n"/>
    </row>
    <row r="793">
      <c r="H793" s="5" t="n"/>
      <c r="I793" s="5" t="n"/>
    </row>
    <row r="794">
      <c r="H794" s="5" t="n"/>
      <c r="I794" s="5" t="n"/>
    </row>
    <row r="795">
      <c r="H795" s="5" t="n"/>
      <c r="I795" s="5" t="n"/>
    </row>
    <row r="796">
      <c r="H796" s="5" t="n"/>
      <c r="I796" s="5" t="n"/>
    </row>
    <row r="797">
      <c r="H797" s="5" t="n"/>
      <c r="I797" s="5" t="n"/>
    </row>
    <row r="798">
      <c r="H798" s="5" t="n"/>
      <c r="I798" s="5" t="n"/>
    </row>
    <row r="799">
      <c r="H799" s="5" t="n"/>
      <c r="I799" s="5" t="n"/>
    </row>
    <row r="800">
      <c r="H800" s="5" t="n"/>
      <c r="I800" s="5" t="n"/>
    </row>
    <row r="801">
      <c r="H801" s="5" t="n"/>
      <c r="I801" s="5" t="n"/>
    </row>
    <row r="802">
      <c r="H802" s="5" t="n"/>
      <c r="I802" s="5" t="n"/>
    </row>
    <row r="803">
      <c r="H803" s="5" t="n"/>
      <c r="I803" s="5" t="n"/>
    </row>
    <row r="804">
      <c r="H804" s="5" t="n"/>
      <c r="I804" s="5" t="n"/>
    </row>
    <row r="805">
      <c r="H805" s="5" t="n"/>
      <c r="I805" s="5" t="n"/>
    </row>
    <row r="806">
      <c r="H806" s="5" t="n"/>
      <c r="I806" s="5" t="n"/>
    </row>
    <row r="807">
      <c r="H807" s="5" t="n"/>
      <c r="I807" s="5" t="n"/>
    </row>
    <row r="808">
      <c r="H808" s="5" t="n"/>
      <c r="I808" s="5" t="n"/>
    </row>
    <row r="809">
      <c r="H809" s="5" t="n"/>
      <c r="I809" s="5" t="n"/>
    </row>
    <row r="810">
      <c r="H810" s="5" t="n"/>
      <c r="I810" s="5" t="n"/>
    </row>
    <row r="811">
      <c r="H811" s="5" t="n"/>
      <c r="I811" s="5" t="n"/>
    </row>
    <row r="812">
      <c r="H812" s="5" t="n"/>
      <c r="I812" s="5" t="n"/>
    </row>
    <row r="813">
      <c r="H813" s="5" t="n"/>
      <c r="I813" s="5" t="n"/>
    </row>
    <row r="814">
      <c r="H814" s="5" t="n"/>
      <c r="I814" s="5" t="n"/>
    </row>
    <row r="815">
      <c r="H815" s="5" t="n"/>
      <c r="I815" s="5" t="n"/>
    </row>
    <row r="816">
      <c r="H816" s="5" t="n"/>
      <c r="I816" s="5" t="n"/>
    </row>
    <row r="817">
      <c r="H817" s="5" t="n"/>
      <c r="I817" s="5" t="n"/>
    </row>
    <row r="818">
      <c r="H818" s="5" t="n"/>
      <c r="I818" s="5" t="n"/>
    </row>
    <row r="819">
      <c r="H819" s="5" t="n"/>
      <c r="I819" s="5" t="n"/>
    </row>
    <row r="820">
      <c r="H820" s="5" t="n"/>
      <c r="I820" s="5" t="n"/>
    </row>
    <row r="821">
      <c r="H821" s="5" t="n"/>
      <c r="I821" s="5" t="n"/>
    </row>
    <row r="822">
      <c r="H822" s="5" t="n"/>
      <c r="I822" s="5" t="n"/>
    </row>
    <row r="823">
      <c r="H823" s="5" t="n"/>
      <c r="I823" s="5" t="n"/>
    </row>
    <row r="824">
      <c r="H824" s="5" t="n"/>
      <c r="I824" s="5" t="n"/>
    </row>
    <row r="825">
      <c r="H825" s="5" t="n"/>
      <c r="I825" s="5" t="n"/>
    </row>
    <row r="826">
      <c r="H826" s="5" t="n"/>
      <c r="I826" s="5" t="n"/>
    </row>
    <row r="827">
      <c r="H827" s="5" t="n"/>
      <c r="I827" s="5" t="n"/>
    </row>
    <row r="828">
      <c r="H828" s="5" t="n"/>
      <c r="I828" s="5" t="n"/>
    </row>
    <row r="829">
      <c r="H829" s="5" t="n"/>
      <c r="I829" s="5" t="n"/>
    </row>
    <row r="830">
      <c r="H830" s="5" t="n"/>
      <c r="I830" s="5" t="n"/>
    </row>
    <row r="831">
      <c r="H831" s="5" t="n"/>
      <c r="I831" s="5" t="n"/>
    </row>
    <row r="832">
      <c r="H832" s="5" t="n"/>
      <c r="I832" s="5" t="n"/>
    </row>
    <row r="833">
      <c r="H833" s="5" t="n"/>
      <c r="I833" s="5" t="n"/>
    </row>
    <row r="834">
      <c r="H834" s="5" t="n"/>
      <c r="I834" s="5" t="n"/>
    </row>
    <row r="835">
      <c r="H835" s="5" t="n"/>
      <c r="I835" s="5" t="n"/>
    </row>
    <row r="836">
      <c r="H836" s="5" t="n"/>
      <c r="I836" s="5" t="n"/>
    </row>
    <row r="837">
      <c r="H837" s="5" t="n"/>
      <c r="I837" s="5" t="n"/>
    </row>
    <row r="838">
      <c r="H838" s="5" t="n"/>
      <c r="I838" s="5" t="n"/>
    </row>
    <row r="839">
      <c r="H839" s="5" t="n"/>
      <c r="I839" s="5" t="n"/>
    </row>
    <row r="840">
      <c r="H840" s="5" t="n"/>
      <c r="I840" s="5" t="n"/>
    </row>
    <row r="841">
      <c r="H841" s="5" t="n"/>
      <c r="I841" s="5" t="n"/>
    </row>
    <row r="842">
      <c r="H842" s="5" t="n"/>
      <c r="I842" s="5" t="n"/>
    </row>
    <row r="843">
      <c r="H843" s="5" t="n"/>
      <c r="I843" s="5" t="n"/>
    </row>
    <row r="844">
      <c r="H844" s="5" t="n"/>
      <c r="I844" s="5" t="n"/>
    </row>
    <row r="845">
      <c r="H845" s="5" t="n"/>
      <c r="I845" s="5" t="n"/>
    </row>
    <row r="846">
      <c r="H846" s="5" t="n"/>
      <c r="I846" s="5" t="n"/>
    </row>
    <row r="847">
      <c r="H847" s="5" t="n"/>
      <c r="I847" s="5" t="n"/>
    </row>
    <row r="848">
      <c r="H848" s="5" t="n"/>
      <c r="I848" s="5" t="n"/>
    </row>
    <row r="849">
      <c r="H849" s="5" t="n"/>
      <c r="I849" s="5" t="n"/>
    </row>
    <row r="850">
      <c r="H850" s="5" t="n"/>
      <c r="I850" s="5" t="n"/>
    </row>
    <row r="851">
      <c r="H851" s="5" t="n"/>
      <c r="I851" s="5" t="n"/>
    </row>
    <row r="852">
      <c r="H852" s="5" t="n"/>
      <c r="I852" s="5" t="n"/>
    </row>
    <row r="853">
      <c r="H853" s="5" t="n"/>
      <c r="I853" s="5" t="n"/>
    </row>
    <row r="854">
      <c r="H854" s="5" t="n"/>
      <c r="I854" s="5" t="n"/>
    </row>
    <row r="855">
      <c r="H855" s="5" t="n"/>
      <c r="I855" s="5" t="n"/>
    </row>
    <row r="856">
      <c r="H856" s="5" t="n"/>
      <c r="I856" s="5" t="n"/>
    </row>
    <row r="857">
      <c r="H857" s="5" t="n"/>
      <c r="I857" s="5" t="n"/>
    </row>
    <row r="858">
      <c r="H858" s="5" t="n"/>
      <c r="I858" s="5" t="n"/>
    </row>
    <row r="859">
      <c r="H859" s="5" t="n"/>
      <c r="I859" s="5" t="n"/>
    </row>
    <row r="860">
      <c r="H860" s="5" t="n"/>
      <c r="I860" s="5" t="n"/>
    </row>
    <row r="861">
      <c r="H861" s="5" t="n"/>
      <c r="I861" s="5" t="n"/>
    </row>
    <row r="862">
      <c r="H862" s="5" t="n"/>
      <c r="I862" s="5" t="n"/>
    </row>
    <row r="863">
      <c r="H863" s="5" t="n"/>
      <c r="I863" s="5" t="n"/>
    </row>
    <row r="864">
      <c r="H864" s="5" t="n"/>
      <c r="I864" s="5" t="n"/>
    </row>
    <row r="865">
      <c r="H865" s="5" t="n"/>
      <c r="I865" s="5" t="n"/>
    </row>
    <row r="866">
      <c r="H866" s="5" t="n"/>
      <c r="I866" s="5" t="n"/>
    </row>
    <row r="867">
      <c r="H867" s="5" t="n"/>
      <c r="I867" s="5" t="n"/>
    </row>
    <row r="868">
      <c r="H868" s="5" t="n"/>
      <c r="I868" s="5" t="n"/>
    </row>
    <row r="869">
      <c r="H869" s="5" t="n"/>
      <c r="I869" s="5" t="n"/>
    </row>
    <row r="870">
      <c r="H870" s="5" t="n"/>
      <c r="I870" s="5" t="n"/>
    </row>
    <row r="871">
      <c r="H871" s="5" t="n"/>
      <c r="I871" s="5" t="n"/>
    </row>
    <row r="872">
      <c r="H872" s="5" t="n"/>
      <c r="I872" s="5" t="n"/>
    </row>
    <row r="873">
      <c r="H873" s="5" t="n"/>
      <c r="I873" s="5" t="n"/>
    </row>
    <row r="874">
      <c r="H874" s="5" t="n"/>
      <c r="I874" s="5" t="n"/>
    </row>
    <row r="875">
      <c r="H875" s="5" t="n"/>
      <c r="I875" s="5" t="n"/>
    </row>
    <row r="876">
      <c r="H876" s="5" t="n"/>
      <c r="I876" s="5" t="n"/>
    </row>
    <row r="877">
      <c r="H877" s="5" t="n"/>
      <c r="I877" s="5" t="n"/>
    </row>
    <row r="878">
      <c r="H878" s="5" t="n"/>
      <c r="I878" s="5" t="n"/>
    </row>
    <row r="879">
      <c r="H879" s="5" t="n"/>
      <c r="I879" s="5" t="n"/>
    </row>
    <row r="880">
      <c r="H880" s="5" t="n"/>
      <c r="I880" s="5" t="n"/>
    </row>
    <row r="881">
      <c r="H881" s="5" t="n"/>
      <c r="I881" s="5" t="n"/>
    </row>
    <row r="882">
      <c r="H882" s="5" t="n"/>
      <c r="I882" s="5" t="n"/>
    </row>
    <row r="883">
      <c r="H883" s="5" t="n"/>
      <c r="I883" s="5" t="n"/>
    </row>
    <row r="884">
      <c r="H884" s="5" t="n"/>
      <c r="I884" s="5" t="n"/>
    </row>
    <row r="885">
      <c r="H885" s="5" t="n"/>
      <c r="I885" s="5" t="n"/>
    </row>
    <row r="886">
      <c r="H886" s="5" t="n"/>
      <c r="I886" s="5" t="n"/>
    </row>
    <row r="887">
      <c r="H887" s="5" t="n"/>
      <c r="I887" s="5" t="n"/>
    </row>
    <row r="888">
      <c r="H888" s="5" t="n"/>
      <c r="I888" s="5" t="n"/>
    </row>
    <row r="889">
      <c r="H889" s="5" t="n"/>
      <c r="I889" s="5" t="n"/>
    </row>
    <row r="890">
      <c r="H890" s="5" t="n"/>
      <c r="I890" s="5" t="n"/>
    </row>
    <row r="891">
      <c r="H891" s="5" t="n"/>
      <c r="I891" s="5" t="n"/>
    </row>
    <row r="892">
      <c r="H892" s="5" t="n"/>
      <c r="I892" s="5" t="n"/>
    </row>
    <row r="893">
      <c r="H893" s="5" t="n"/>
      <c r="I893" s="5" t="n"/>
    </row>
    <row r="894">
      <c r="H894" s="5" t="n"/>
      <c r="I894" s="5" t="n"/>
    </row>
    <row r="895">
      <c r="H895" s="5" t="n"/>
      <c r="I895" s="5" t="n"/>
    </row>
    <row r="896">
      <c r="H896" s="5" t="n"/>
      <c r="I896" s="5" t="n"/>
    </row>
    <row r="897">
      <c r="H897" s="5" t="n"/>
      <c r="I897" s="5" t="n"/>
    </row>
    <row r="898">
      <c r="H898" s="5" t="n"/>
      <c r="I898" s="5" t="n"/>
    </row>
    <row r="899">
      <c r="H899" s="5" t="n"/>
      <c r="I899" s="5" t="n"/>
    </row>
    <row r="900">
      <c r="H900" s="5" t="n"/>
      <c r="I900" s="5" t="n"/>
    </row>
    <row r="901">
      <c r="H901" s="5" t="n"/>
      <c r="I901" s="5" t="n"/>
    </row>
    <row r="902">
      <c r="H902" s="5" t="n"/>
      <c r="I902" s="5" t="n"/>
    </row>
    <row r="903">
      <c r="H903" s="5" t="n"/>
      <c r="I903" s="5" t="n"/>
    </row>
    <row r="904">
      <c r="H904" s="5" t="n"/>
      <c r="I904" s="5" t="n"/>
    </row>
    <row r="905">
      <c r="H905" s="5" t="n"/>
      <c r="I905" s="5" t="n"/>
    </row>
    <row r="906">
      <c r="H906" s="5" t="n"/>
      <c r="I906" s="5" t="n"/>
    </row>
    <row r="907">
      <c r="H907" s="5" t="n"/>
      <c r="I907" s="5" t="n"/>
    </row>
    <row r="908">
      <c r="H908" s="5" t="n"/>
      <c r="I908" s="5" t="n"/>
    </row>
    <row r="909">
      <c r="H909" s="5" t="n"/>
      <c r="I909" s="5" t="n"/>
    </row>
    <row r="910">
      <c r="H910" s="5" t="n"/>
      <c r="I910" s="5" t="n"/>
    </row>
    <row r="911">
      <c r="H911" s="5" t="n"/>
      <c r="I911" s="5" t="n"/>
    </row>
    <row r="912">
      <c r="H912" s="5" t="n"/>
      <c r="I912" s="5" t="n"/>
    </row>
    <row r="913">
      <c r="H913" s="5" t="n"/>
      <c r="I913" s="5" t="n"/>
    </row>
    <row r="914">
      <c r="H914" s="5" t="n"/>
      <c r="I914" s="5" t="n"/>
    </row>
    <row r="915">
      <c r="H915" s="5" t="n"/>
      <c r="I915" s="5" t="n"/>
    </row>
    <row r="916">
      <c r="H916" s="5" t="n"/>
      <c r="I916" s="5" t="n"/>
    </row>
    <row r="917">
      <c r="H917" s="5" t="n"/>
      <c r="I917" s="5" t="n"/>
    </row>
    <row r="918">
      <c r="H918" s="5" t="n"/>
      <c r="I918" s="5" t="n"/>
    </row>
    <row r="919">
      <c r="H919" s="5" t="n"/>
      <c r="I919" s="5" t="n"/>
    </row>
    <row r="920">
      <c r="H920" s="5" t="n"/>
      <c r="I920" s="5" t="n"/>
    </row>
    <row r="921">
      <c r="H921" s="5" t="n"/>
      <c r="I921" s="5" t="n"/>
    </row>
    <row r="922">
      <c r="H922" s="5" t="n"/>
      <c r="I922" s="5" t="n"/>
    </row>
    <row r="923">
      <c r="H923" s="5" t="n"/>
      <c r="I923" s="5" t="n"/>
    </row>
    <row r="924">
      <c r="H924" s="5" t="n"/>
      <c r="I924" s="5" t="n"/>
    </row>
    <row r="925">
      <c r="H925" s="5" t="n"/>
      <c r="I925" s="5" t="n"/>
    </row>
    <row r="926">
      <c r="H926" s="5" t="n"/>
      <c r="I926" s="5" t="n"/>
    </row>
    <row r="927">
      <c r="H927" s="5" t="n"/>
      <c r="I927" s="5" t="n"/>
    </row>
    <row r="928">
      <c r="H928" s="5" t="n"/>
      <c r="I928" s="5" t="n"/>
    </row>
    <row r="929">
      <c r="H929" s="5" t="n"/>
      <c r="I929" s="5" t="n"/>
    </row>
    <row r="930">
      <c r="H930" s="5" t="n"/>
      <c r="I930" s="5" t="n"/>
    </row>
    <row r="931">
      <c r="H931" s="5" t="n"/>
      <c r="I931" s="5" t="n"/>
    </row>
    <row r="932">
      <c r="H932" s="5" t="n"/>
      <c r="I932" s="5" t="n"/>
    </row>
    <row r="933">
      <c r="H933" s="5" t="n"/>
      <c r="I933" s="5" t="n"/>
    </row>
    <row r="934">
      <c r="H934" s="5" t="n"/>
      <c r="I934" s="5" t="n"/>
    </row>
    <row r="935">
      <c r="H935" s="5" t="n"/>
      <c r="I935" s="5" t="n"/>
    </row>
    <row r="936">
      <c r="H936" s="5" t="n"/>
      <c r="I936" s="5" t="n"/>
    </row>
    <row r="937">
      <c r="H937" s="5" t="n"/>
      <c r="I937" s="5" t="n"/>
    </row>
    <row r="938">
      <c r="H938" s="5" t="n"/>
      <c r="I938" s="5" t="n"/>
    </row>
    <row r="939">
      <c r="H939" s="5" t="n"/>
      <c r="I939" s="5" t="n"/>
    </row>
    <row r="940">
      <c r="H940" s="5" t="n"/>
      <c r="I940" s="5" t="n"/>
    </row>
    <row r="941">
      <c r="H941" s="5" t="n"/>
      <c r="I941" s="5" t="n"/>
    </row>
    <row r="942">
      <c r="H942" s="5" t="n"/>
      <c r="I942" s="5" t="n"/>
    </row>
    <row r="943">
      <c r="H943" s="5" t="n"/>
      <c r="I943" s="5" t="n"/>
    </row>
    <row r="944">
      <c r="H944" s="5" t="n"/>
      <c r="I944" s="5" t="n"/>
    </row>
    <row r="945">
      <c r="H945" s="5" t="n"/>
      <c r="I945" s="5" t="n"/>
    </row>
    <row r="946">
      <c r="H946" s="5" t="n"/>
      <c r="I946" s="5" t="n"/>
    </row>
    <row r="947">
      <c r="H947" s="5" t="n"/>
      <c r="I947" s="5" t="n"/>
    </row>
    <row r="948">
      <c r="H948" s="5" t="n"/>
      <c r="I948" s="5" t="n"/>
    </row>
    <row r="949">
      <c r="H949" s="5" t="n"/>
      <c r="I949" s="5" t="n"/>
    </row>
    <row r="950">
      <c r="H950" s="5" t="n"/>
      <c r="I950" s="5" t="n"/>
    </row>
    <row r="951">
      <c r="H951" s="5" t="n"/>
      <c r="I951" s="5" t="n"/>
    </row>
    <row r="952">
      <c r="H952" s="5" t="n"/>
      <c r="I952" s="5" t="n"/>
    </row>
    <row r="953">
      <c r="H953" s="5" t="n"/>
      <c r="I953" s="5" t="n"/>
    </row>
    <row r="954">
      <c r="H954" s="5" t="n"/>
      <c r="I954" s="5" t="n"/>
    </row>
    <row r="955">
      <c r="H955" s="5" t="n"/>
      <c r="I955" s="5" t="n"/>
    </row>
    <row r="956">
      <c r="H956" s="5" t="n"/>
      <c r="I956" s="5" t="n"/>
    </row>
    <row r="957">
      <c r="H957" s="5" t="n"/>
      <c r="I957" s="5" t="n"/>
    </row>
    <row r="958">
      <c r="H958" s="5" t="n"/>
      <c r="I958" s="5" t="n"/>
    </row>
    <row r="959">
      <c r="H959" s="5" t="n"/>
      <c r="I959" s="5" t="n"/>
    </row>
    <row r="960">
      <c r="H960" s="5" t="n"/>
      <c r="I960" s="5" t="n"/>
    </row>
    <row r="961">
      <c r="H961" s="5" t="n"/>
      <c r="I961" s="5" t="n"/>
    </row>
    <row r="962">
      <c r="H962" s="5" t="n"/>
      <c r="I962" s="5" t="n"/>
    </row>
    <row r="963">
      <c r="H963" s="5" t="n"/>
      <c r="I963" s="5" t="n"/>
    </row>
    <row r="964">
      <c r="H964" s="5" t="n"/>
      <c r="I964" s="5" t="n"/>
    </row>
    <row r="965">
      <c r="H965" s="5" t="n"/>
      <c r="I965" s="5" t="n"/>
    </row>
    <row r="966">
      <c r="H966" s="5" t="n"/>
      <c r="I966" s="5" t="n"/>
    </row>
    <row r="967">
      <c r="H967" s="5" t="n"/>
      <c r="I967" s="5" t="n"/>
    </row>
    <row r="968">
      <c r="H968" s="5" t="n"/>
      <c r="I968" s="5" t="n"/>
    </row>
    <row r="969">
      <c r="H969" s="5" t="n"/>
      <c r="I969" s="5" t="n"/>
    </row>
    <row r="970">
      <c r="H970" s="5" t="n"/>
      <c r="I970" s="5" t="n"/>
    </row>
    <row r="971">
      <c r="H971" s="5" t="n"/>
      <c r="I971" s="5" t="n"/>
    </row>
    <row r="972">
      <c r="H972" s="5" t="n"/>
      <c r="I972" s="5" t="n"/>
    </row>
    <row r="973">
      <c r="H973" s="5" t="n"/>
      <c r="I973" s="5" t="n"/>
    </row>
    <row r="974">
      <c r="H974" s="5" t="n"/>
      <c r="I974" s="5" t="n"/>
    </row>
    <row r="975">
      <c r="H975" s="5" t="n"/>
      <c r="I975" s="5" t="n"/>
    </row>
    <row r="976">
      <c r="H976" s="5" t="n"/>
      <c r="I976" s="5" t="n"/>
    </row>
    <row r="977">
      <c r="H977" s="5" t="n"/>
      <c r="I977" s="5" t="n"/>
    </row>
    <row r="978">
      <c r="H978" s="5" t="n"/>
      <c r="I978" s="5" t="n"/>
    </row>
    <row r="979">
      <c r="H979" s="5" t="n"/>
      <c r="I979" s="5" t="n"/>
    </row>
    <row r="980">
      <c r="H980" s="5" t="n"/>
      <c r="I980" s="5" t="n"/>
    </row>
    <row r="981">
      <c r="H981" s="5" t="n"/>
      <c r="I981" s="5" t="n"/>
    </row>
    <row r="982">
      <c r="H982" s="5" t="n"/>
      <c r="I982" s="5" t="n"/>
    </row>
    <row r="983">
      <c r="H983" s="5" t="n"/>
      <c r="I983" s="5" t="n"/>
    </row>
    <row r="984">
      <c r="H984" s="5" t="n"/>
      <c r="I984" s="5" t="n"/>
    </row>
    <row r="985">
      <c r="H985" s="5" t="n"/>
      <c r="I985" s="5" t="n"/>
    </row>
    <row r="986">
      <c r="H986" s="5" t="n"/>
      <c r="I986" s="5" t="n"/>
    </row>
    <row r="987">
      <c r="H987" s="5" t="n"/>
      <c r="I987" s="5" t="n"/>
    </row>
    <row r="988">
      <c r="H988" s="5" t="n"/>
      <c r="I988" s="5" t="n"/>
    </row>
    <row r="989">
      <c r="H989" s="5" t="n"/>
      <c r="I989" s="5" t="n"/>
    </row>
    <row r="990">
      <c r="H990" s="5" t="n"/>
      <c r="I990" s="5" t="n"/>
    </row>
    <row r="991">
      <c r="H991" s="5" t="n"/>
      <c r="I991" s="5" t="n"/>
    </row>
    <row r="992">
      <c r="H992" s="5" t="n"/>
      <c r="I992" s="5" t="n"/>
    </row>
    <row r="993">
      <c r="H993" s="5" t="n"/>
      <c r="I993" s="5" t="n"/>
    </row>
    <row r="994">
      <c r="H994" s="5" t="n"/>
      <c r="I994" s="5" t="n"/>
    </row>
    <row r="995">
      <c r="H995" s="5" t="n"/>
      <c r="I995" s="5" t="n"/>
    </row>
    <row r="996">
      <c r="H996" s="5" t="n"/>
      <c r="I996" s="5" t="n"/>
    </row>
    <row r="997">
      <c r="H997" s="5" t="n"/>
      <c r="I997" s="5" t="n"/>
    </row>
    <row r="998">
      <c r="H998" s="5" t="n"/>
      <c r="I998" s="5" t="n"/>
    </row>
    <row r="999">
      <c r="H999" s="5" t="n"/>
      <c r="I999" s="5" t="n"/>
    </row>
  </sheetData>
  <autoFilter ref="A1:O34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G40" sqref="G40"/>
    </sheetView>
  </sheetViews>
  <sheetFormatPr baseColWidth="8" defaultRowHeight="14.4"/>
  <sheetData>
    <row r="1" ht="36.6" customFormat="1" customHeight="1" s="1">
      <c r="A1" s="2" t="inlineStr">
        <is>
          <t>STT</t>
        </is>
      </c>
      <c r="B1" s="2" t="inlineStr">
        <is>
          <t>Mã siêu thị</t>
        </is>
      </c>
      <c r="C1" s="2" t="inlineStr">
        <is>
          <t>Tên siêu thị</t>
        </is>
      </c>
      <c r="D1" s="2" t="inlineStr">
        <is>
          <t>Mã sản phẩm</t>
        </is>
      </c>
      <c r="E1" s="2" t="inlineStr">
        <is>
          <t>Tên sản phẩm</t>
        </is>
      </c>
      <c r="F1" s="2" t="inlineStr">
        <is>
          <t>IMEI của sản phẩm chính</t>
        </is>
      </c>
      <c r="G1" s="2" t="inlineStr">
        <is>
          <t>Trạng thái sản phẩm</t>
        </is>
      </c>
      <c r="H1" s="2" t="inlineStr">
        <is>
          <t>Số lượng</t>
        </is>
      </c>
      <c r="I1" s="2" t="inlineStr">
        <is>
          <t>Source</t>
        </is>
      </c>
      <c r="J1" s="3" t="inlineStr">
        <is>
          <t>Price</t>
        </is>
      </c>
      <c r="K1" s="2" t="inlineStr">
        <is>
          <t>Description</t>
        </is>
      </c>
      <c r="L1" s="2" t="inlineStr">
        <is>
          <t>Text_similar_score</t>
        </is>
      </c>
      <c r="M1" s="2" t="inlineStr">
        <is>
          <t>Link</t>
        </is>
      </c>
      <c r="N1" s="2" t="inlineStr">
        <is>
          <t>screenshot</t>
        </is>
      </c>
      <c r="O1" s="1" t="inlineStr">
        <is>
          <t>Search file</t>
        </is>
      </c>
    </row>
    <row r="2">
      <c r="A2" t="inlineStr">
        <is>
          <t>GGAPI9</t>
        </is>
      </c>
      <c r="I2" t="inlineStr">
        <is>
          <t>www.thegioididong.com</t>
        </is>
      </c>
      <c r="J2" t="inlineStr">
        <is>
          <t>not found</t>
        </is>
      </c>
      <c r="K2" t="inlineStr">
        <is>
          <t>Laptop Dell Inspiron 7440 - N7440-C7U161W11IBU (Core 7 150U, 16GB, 1TB, Full HD+, Cảm ứng, OfficeHS, Win11)</t>
        </is>
      </c>
      <c r="M2" t="inlineStr">
        <is>
          <t>https://www.thegioididong.com/laptop/dell-inspiron-7440-core-7-n7440c7u161w11ibu</t>
        </is>
      </c>
      <c r="N2">
        <f>HYPERLINK("D:/Automate Task GenAI/Market price/screenshot\www.thegioididong.com_GGAPI9.png")</f>
        <v/>
      </c>
      <c r="O2">
        <f>HYPERLINK("D:/Automate Task GenAI/Market price/screenshot\GGAPI9.xlsx")</f>
        <v/>
      </c>
    </row>
    <row r="3">
      <c r="A3" t="inlineStr">
        <is>
          <t>GGAPI9</t>
        </is>
      </c>
      <c r="I3" t="inlineStr">
        <is>
          <t>www.dienmayxanh.com</t>
        </is>
      </c>
      <c r="J3" t="inlineStr">
        <is>
          <t>N/A</t>
        </is>
      </c>
      <c r="K3" t="inlineStr">
        <is>
          <t>Laptop Dell Inspiron 7440 - N7440-C7U161W11IBU (Core 7 150U, 16GB, 1TB, Full HD+, Cảm ứng, OfficeHS, Win11)</t>
        </is>
      </c>
      <c r="M3" t="inlineStr">
        <is>
          <t>https://www.dienmayxanh.com/laptop/dell-inspiron-7440-core-7-n7440c7u161w11ibu</t>
        </is>
      </c>
      <c r="N3">
        <f>HYPERLINK("D:/Automate Task GenAI/Market price/screenshot\www.dienmayxanh.com_GGAPI9.png")</f>
        <v/>
      </c>
      <c r="O3">
        <f>HYPERLINK("D:/Automate Task GenAI/Market price/screenshot\GGAPI9.xlsx")</f>
        <v/>
      </c>
    </row>
    <row r="4">
      <c r="A4" t="inlineStr">
        <is>
          <t>GGAPI10</t>
        </is>
      </c>
      <c r="I4" t="inlineStr">
        <is>
          <t>www.dienmayxanh.com</t>
        </is>
      </c>
    </row>
    <row r="5">
      <c r="A5" t="inlineStr">
        <is>
          <t>GGAPI10</t>
        </is>
      </c>
      <c r="I5" t="inlineStr">
        <is>
          <t>www.dienmayxanh.com</t>
        </is>
      </c>
      <c r="J5" t="inlineStr">
        <is>
          <t>Search not found</t>
        </is>
      </c>
    </row>
    <row r="6">
      <c r="A6" t="inlineStr">
        <is>
          <t>GGAPI10</t>
        </is>
      </c>
      <c r="I6" t="inlineStr">
        <is>
          <t>www.nguyenkim.com</t>
        </is>
      </c>
      <c r="J6" t="inlineStr">
        <is>
          <t>34990000</t>
        </is>
      </c>
      <c r="K6" t="inlineStr">
        <is>
          <t>Tủ lạnh LG Inverter 612 lít LFD61BLGAI</t>
        </is>
      </c>
      <c r="M6" t="inlineStr">
        <is>
          <t>https://www.nguyenkim.com/tu-lanh-lg-inverter-lfd61blgai.html</t>
        </is>
      </c>
      <c r="N6">
        <f>HYPERLINK("D:/Automate Task GenAI/Market price/screenshot\www.nguyenkim.com_GGAPI10.png")</f>
        <v/>
      </c>
      <c r="O6">
        <f>HYPERLINK("D:/Automate Task GenAI/Market price/search result\GGAPI10.xlsx")</f>
        <v/>
      </c>
    </row>
    <row r="7">
      <c r="A7" t="inlineStr">
        <is>
          <t>GGAPI11</t>
        </is>
      </c>
      <c r="I7" t="inlineStr">
        <is>
          <t>www.thegioididong.com</t>
        </is>
      </c>
      <c r="J7" t="inlineStr">
        <is>
          <t>Search not found</t>
        </is>
      </c>
    </row>
    <row r="8">
      <c r="A8" t="inlineStr">
        <is>
          <t>GGAPI11</t>
        </is>
      </c>
      <c r="I8" t="inlineStr">
        <is>
          <t>www.dienmayxanh.com</t>
        </is>
      </c>
      <c r="J8" t="inlineStr">
        <is>
          <t>Search not found</t>
        </is>
      </c>
    </row>
    <row r="9">
      <c r="A9" t="inlineStr">
        <is>
          <t>GGAPI12</t>
        </is>
      </c>
      <c r="I9" t="inlineStr">
        <is>
          <t>www.thegioididong.com</t>
        </is>
      </c>
      <c r="J9" t="inlineStr">
        <is>
          <t>Search not found</t>
        </is>
      </c>
    </row>
    <row r="10">
      <c r="A10" t="inlineStr">
        <is>
          <t>GGAPI12</t>
        </is>
      </c>
      <c r="I10" t="inlineStr">
        <is>
          <t>www.dienmayxanh.com</t>
        </is>
      </c>
      <c r="J10" t="inlineStr">
        <is>
          <t>Search not found</t>
        </is>
      </c>
    </row>
    <row r="11">
      <c r="A11" t="inlineStr">
        <is>
          <t>GGAPI13</t>
        </is>
      </c>
      <c r="I11" t="inlineStr">
        <is>
          <t>www.thegioididong.com</t>
        </is>
      </c>
      <c r="J11" t="inlineStr">
        <is>
          <t>Search not found</t>
        </is>
      </c>
    </row>
    <row r="12">
      <c r="A12" t="inlineStr">
        <is>
          <t>GGAPI13</t>
        </is>
      </c>
      <c r="I12" t="inlineStr">
        <is>
          <t>www.dienmayxanh.com</t>
        </is>
      </c>
      <c r="J12" t="inlineStr">
        <is>
          <t>Search not found</t>
        </is>
      </c>
    </row>
    <row r="13">
      <c r="A13" t="inlineStr">
        <is>
          <t>GGAPI14</t>
        </is>
      </c>
      <c r="I13" t="inlineStr">
        <is>
          <t>www.thegioididong.com</t>
        </is>
      </c>
      <c r="J13" t="inlineStr">
        <is>
          <t>Search not found</t>
        </is>
      </c>
    </row>
    <row r="14">
      <c r="A14" t="inlineStr">
        <is>
          <t>GGAPI15</t>
        </is>
      </c>
      <c r="I14" t="inlineStr">
        <is>
          <t>www.dienmayxanh.com</t>
        </is>
      </c>
      <c r="J14" t="inlineStr">
        <is>
          <t>Search not found</t>
        </is>
      </c>
    </row>
    <row r="15">
      <c r="A15" t="inlineStr">
        <is>
          <t>GGAPI15</t>
        </is>
      </c>
      <c r="I15" t="inlineStr">
        <is>
          <t>www.dienmayxanh.com</t>
        </is>
      </c>
      <c r="J15" t="inlineStr">
        <is>
          <t>Search not found</t>
        </is>
      </c>
    </row>
    <row r="16">
      <c r="A16" t="inlineStr">
        <is>
          <t>GGAPI12</t>
        </is>
      </c>
      <c r="I16" t="inlineStr">
        <is>
          <t>www.thegioididong.com</t>
        </is>
      </c>
      <c r="J16" t="inlineStr">
        <is>
          <t>Search not found</t>
        </is>
      </c>
    </row>
    <row r="17">
      <c r="A17" t="inlineStr">
        <is>
          <t>GGAPI12</t>
        </is>
      </c>
      <c r="I17" t="inlineStr">
        <is>
          <t>www.dienmayxanh.com</t>
        </is>
      </c>
      <c r="J17" t="inlineStr">
        <is>
          <t>Search not found</t>
        </is>
      </c>
    </row>
    <row r="18">
      <c r="A18" t="inlineStr">
        <is>
          <t>GGAPI12</t>
        </is>
      </c>
      <c r="I18" t="inlineStr">
        <is>
          <t>www.thegioididong.com</t>
        </is>
      </c>
      <c r="J18" t="inlineStr">
        <is>
          <t>Search not found</t>
        </is>
      </c>
    </row>
    <row r="19">
      <c r="A19" t="inlineStr">
        <is>
          <t>GGAPI12</t>
        </is>
      </c>
      <c r="I19" t="inlineStr">
        <is>
          <t>www.dienmayxanh.com</t>
        </is>
      </c>
      <c r="J19" t="inlineStr">
        <is>
          <t>Search not found</t>
        </is>
      </c>
    </row>
    <row r="20">
      <c r="A20" t="inlineStr">
        <is>
          <t>GGAPI12</t>
        </is>
      </c>
      <c r="I20" t="inlineStr">
        <is>
          <t>cellphones.com.vn</t>
        </is>
      </c>
      <c r="J20" t="inlineStr">
        <is>
          <t>25290000</t>
        </is>
      </c>
      <c r="K20" t="inlineStr">
        <is>
          <t>Samsung Galaxy S24 Ultra 12GB 256GB</t>
        </is>
      </c>
      <c r="M20" t="inlineStr">
        <is>
          <t>https://cellphones.com.vn/samsung-galaxy-s24-ultra.html</t>
        </is>
      </c>
      <c r="N20">
        <f>HYPERLINK("D:/Automate Task GenAI/Market price/screenshot\cellphones.com.vn_GGAPI12.png")</f>
        <v/>
      </c>
      <c r="O20">
        <f>HYPERLINK("D:/Automate Task GenAI/Market price/search result\GGAPI12.xlsx")</f>
        <v/>
      </c>
    </row>
    <row r="21">
      <c r="A21" t="inlineStr">
        <is>
          <t>GGAPI12</t>
        </is>
      </c>
      <c r="I21" t="inlineStr">
        <is>
          <t>www.thegioididong.com</t>
        </is>
      </c>
      <c r="J21" t="inlineStr">
        <is>
          <t>Search not found</t>
        </is>
      </c>
    </row>
    <row r="22">
      <c r="A22" t="inlineStr">
        <is>
          <t>GGAPI12</t>
        </is>
      </c>
      <c r="I22" t="inlineStr">
        <is>
          <t>viettelstore.vn</t>
        </is>
      </c>
      <c r="J22" t="inlineStr">
        <is>
          <t>29990000</t>
        </is>
      </c>
      <c r="K22" t="inlineStr">
        <is>
          <t>Samsung Galaxy S24 Ultra 5G 12GB 256GB</t>
        </is>
      </c>
      <c r="M22" t="inlineStr">
        <is>
          <t>https://viettelstore.vn/dien-thoai/samsung-galaxy-s24-ultra-pid326813.html</t>
        </is>
      </c>
      <c r="N22">
        <f>HYPERLINK("D:/Automate Task GenAI/Market price/screenshot\viettelstore.vn_GGAPI12.png")</f>
        <v/>
      </c>
      <c r="O22">
        <f>HYPERLINK("D:/Automate Task GenAI/Market price/search result\GGAPI12.xlsx")</f>
        <v/>
      </c>
    </row>
    <row r="23">
      <c r="A23" t="inlineStr">
        <is>
          <t>GGAPI12</t>
        </is>
      </c>
      <c r="I23" t="inlineStr">
        <is>
          <t>didongviet.vn</t>
        </is>
      </c>
      <c r="J23" t="inlineStr">
        <is>
          <t>21690000 đ</t>
        </is>
      </c>
      <c r="K23" t="inlineStr">
        <is>
          <t>Samsung Galaxy S24 Ultra 5G 256GB Chính Hãng</t>
        </is>
      </c>
      <c r="M23" t="inlineStr">
        <is>
          <t>https://didongviet.vn/dien-thoai/samsung-galaxy-s24-ultra-5g-256gb.html</t>
        </is>
      </c>
      <c r="N23">
        <f>HYPERLINK("D:/Automate Task GenAI/Market price/screenshot\didongviet.vn_GGAPI12.png")</f>
        <v/>
      </c>
      <c r="O23">
        <f>HYPERLINK("D:/Automate Task GenAI/Market price/search result\GGAPI12.xlsx")</f>
        <v/>
      </c>
    </row>
    <row r="24">
      <c r="A24" t="inlineStr">
        <is>
          <t>GGAPI12</t>
        </is>
      </c>
      <c r="I24" t="inlineStr">
        <is>
          <t>www.dienmayxanh.com</t>
        </is>
      </c>
      <c r="J24" t="inlineStr">
        <is>
          <t>Search not found</t>
        </is>
      </c>
    </row>
    <row r="25">
      <c r="A25" t="inlineStr">
        <is>
          <t>GGAPI12</t>
        </is>
      </c>
      <c r="I25" t="inlineStr">
        <is>
          <t>hoanghamobile.com</t>
        </is>
      </c>
      <c r="J25" t="inlineStr">
        <is>
          <t>N/A</t>
        </is>
      </c>
      <c r="K25" t="inlineStr">
        <is>
          <t>Điện Thoại AI - Samsung Galaxy S24 Ultra - 12GB/256GB - Chính hãng</t>
        </is>
      </c>
      <c r="M25" t="inlineStr">
        <is>
          <t>https://hoanghamobile.com/dien-thoai/samsung-galaxy-s24-ultra-chinh-hang</t>
        </is>
      </c>
      <c r="N25">
        <f>HYPERLINK("D:/Automate Task GenAI/Market price/screenshot\hoanghamobile.com_GGAPI12.png")</f>
        <v/>
      </c>
      <c r="O25">
        <f>HYPERLINK("D:/Automate Task GenAI/Market price/search result\GGAPI12.xlsx")</f>
        <v/>
      </c>
    </row>
    <row r="26">
      <c r="A26" t="inlineStr">
        <is>
          <t>GGAPI13</t>
        </is>
      </c>
      <c r="I26" t="inlineStr">
        <is>
          <t>www.thegioididong.com</t>
        </is>
      </c>
      <c r="J26" t="inlineStr">
        <is>
          <t>Search not found</t>
        </is>
      </c>
    </row>
    <row r="27">
      <c r="A27" t="inlineStr">
        <is>
          <t>GGAPI13</t>
        </is>
      </c>
      <c r="I27" t="inlineStr">
        <is>
          <t>cellphones.com.vn</t>
        </is>
      </c>
      <c r="J27" t="inlineStr">
        <is>
          <t>25490000</t>
        </is>
      </c>
      <c r="K27" t="inlineStr">
        <is>
          <t>Laptop ASUS TUF Gaming F15 FX507VU-LP198W I7-13620H/24GB/512GB PCIE/VGA 6GB RTX4050/15.6 FHD</t>
        </is>
      </c>
      <c r="M27" t="inlineStr">
        <is>
          <t>https://cellphones.com.vn/laptop-asus-tuf-gaming-f15-fx507vu-lp198w.html</t>
        </is>
      </c>
      <c r="N27">
        <f>HYPERLINK("D:/Automate Task GenAI/Market price/screenshot\cellphones.com.vn_GGAPI13.png")</f>
        <v/>
      </c>
      <c r="O27">
        <f>HYPERLINK("D:/Automate Task GenAI/Market price/search result/GGAPI13.xlsx")</f>
        <v/>
      </c>
    </row>
    <row r="28">
      <c r="A28" t="inlineStr">
        <is>
          <t>GGAPI13</t>
        </is>
      </c>
      <c r="I28" t="inlineStr">
        <is>
          <t>cellphones.com.vn</t>
        </is>
      </c>
      <c r="J28" t="inlineStr">
        <is>
          <t>26490000</t>
        </is>
      </c>
      <c r="K28" t="inlineStr">
        <is>
          <t>Laptop ASUS TUF Gaming F15 FX507VU-LP315W i7-13620H/16GB/512GB PCIE/VGA 6GB RTX4050/15.6 FHD/WIN11/XÁM</t>
        </is>
      </c>
      <c r="M28" t="inlineStr">
        <is>
          <t>https://cellphones.com.vn/laptop-asus-tuf-gaming-f15-fx507vu-lp315w.html</t>
        </is>
      </c>
      <c r="N28">
        <f>HYPERLINK("D:/Automate Task GenAI/Market price/screenshot\cellphones.com.vn_GGAPI13.png")</f>
        <v/>
      </c>
      <c r="O28">
        <f>HYPERLINK("D:/Automate Task GenAI/Market price/search result/GGAPI13.xlsx")</f>
        <v/>
      </c>
    </row>
    <row r="29">
      <c r="A29" t="inlineStr">
        <is>
          <t>GGAPI13</t>
        </is>
      </c>
      <c r="I29" t="inlineStr">
        <is>
          <t>www.dienmayxanh.com</t>
        </is>
      </c>
      <c r="J29" t="inlineStr">
        <is>
          <t>Search not found</t>
        </is>
      </c>
    </row>
    <row r="30">
      <c r="A30" t="inlineStr">
        <is>
          <t>GGAPI14</t>
        </is>
      </c>
      <c r="I30" t="inlineStr">
        <is>
          <t>www.thegioididong.com</t>
        </is>
      </c>
      <c r="J30" t="inlineStr">
        <is>
          <t>Search not found</t>
        </is>
      </c>
    </row>
    <row r="31">
      <c r="A31" t="inlineStr">
        <is>
          <t>GGAPI14</t>
        </is>
      </c>
      <c r="I31" t="inlineStr">
        <is>
          <t>cellphones.com.vn</t>
        </is>
      </c>
      <c r="J31" t="inlineStr">
        <is>
          <t>25490000</t>
        </is>
      </c>
      <c r="K31" t="inlineStr">
        <is>
          <t>Laptop ASUS TUF Gaming A15 FA507NVR-LP091W</t>
        </is>
      </c>
      <c r="M31" t="inlineStr">
        <is>
          <t>https://cellphones.com.vn/laptop-asus-tuf-gaming-a15-fa507nvr-lp091w.html</t>
        </is>
      </c>
      <c r="N31">
        <f>HYPERLINK("D:/Automate Task GenAI/Market price/screenshot\cellphones.com.vn_GGAPI14.png")</f>
        <v/>
      </c>
      <c r="O31">
        <f>HYPERLINK("D:/Automate Task GenAI/Market price/search result/GGAPI14.xlsx")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2024-12-30T08:36:41Z</dcterms:created>
  <dcterms:modified xsi:type="dcterms:W3CDTF">2026-04-06T10:55:51Z</dcterms:modified>
  <cp:lastModifiedBy>Phung Tuan Hung (C/TXE-COE)</cp:lastModifiedBy>
</cp:coreProperties>
</file>